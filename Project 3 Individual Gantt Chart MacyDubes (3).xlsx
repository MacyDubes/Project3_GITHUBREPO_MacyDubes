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C:\Users\dubes\Downloads\"/>
    </mc:Choice>
  </mc:AlternateContent>
  <xr:revisionPtr revIDLastSave="0" documentId="8_{AF31BA6B-58B5-443A-B154-989FA7365BD2}" xr6:coauthVersionLast="47" xr6:coauthVersionMax="47" xr10:uidLastSave="{00000000-0000-0000-0000-000000000000}"/>
  <bookViews>
    <workbookView xWindow="-108" yWindow="-108" windowWidth="24792" windowHeight="14856"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1" i="11" l="1"/>
  <c r="E31" i="11"/>
  <c r="E30" i="11"/>
  <c r="F24" i="11"/>
  <c r="F19" i="11"/>
  <c r="F15" i="11"/>
  <c r="Q1" i="11"/>
  <c r="E9" i="11" s="1"/>
  <c r="E21" i="11" s="1"/>
  <c r="F30" i="11"/>
  <c r="F17" i="11"/>
  <c r="F16" i="11"/>
  <c r="H7" i="11"/>
  <c r="F9" i="11" l="1"/>
  <c r="I5" i="11"/>
  <c r="H33" i="11"/>
  <c r="H32" i="11"/>
  <c r="H26" i="11"/>
  <c r="H20" i="11"/>
  <c r="H8" i="11"/>
  <c r="E10" i="11" l="1"/>
  <c r="F21" i="11"/>
  <c r="E22" i="11" s="1"/>
  <c r="H14" i="11"/>
  <c r="I6" i="11"/>
  <c r="F10" i="11" l="1"/>
  <c r="H21" i="11"/>
  <c r="H31" i="11"/>
  <c r="H9" i="11"/>
  <c r="E23" i="11"/>
  <c r="E25" i="11" s="1"/>
  <c r="F22" i="11"/>
  <c r="H22" i="11" s="1"/>
  <c r="H15" i="11"/>
  <c r="J5" i="11"/>
  <c r="K5" i="11" s="1"/>
  <c r="L5" i="11" s="1"/>
  <c r="M5" i="11" s="1"/>
  <c r="N5" i="11" s="1"/>
  <c r="O5" i="11" s="1"/>
  <c r="P5" i="11" s="1"/>
  <c r="I4" i="11"/>
  <c r="H10" i="11" l="1"/>
  <c r="E11" i="11"/>
  <c r="H11" i="11" s="1"/>
  <c r="H30" i="11"/>
  <c r="H29" i="11"/>
  <c r="H13" i="11"/>
  <c r="F23" i="11"/>
  <c r="H12" i="11"/>
  <c r="H16" i="11"/>
  <c r="P4" i="11"/>
  <c r="Q5" i="11"/>
  <c r="R5" i="11" s="1"/>
  <c r="S5" i="11" s="1"/>
  <c r="T5" i="11" s="1"/>
  <c r="U5" i="11" s="1"/>
  <c r="V5" i="11" s="1"/>
  <c r="W5" i="11" s="1"/>
  <c r="J6" i="11"/>
  <c r="H28" i="11" l="1"/>
  <c r="H27" i="11"/>
  <c r="F25" i="11"/>
  <c r="H25" i="11" s="1"/>
  <c r="H23" i="11"/>
  <c r="H19" i="11"/>
  <c r="H18" i="11"/>
  <c r="H17" i="11"/>
  <c r="W4" i="11"/>
  <c r="X5" i="11"/>
  <c r="Y5" i="11" s="1"/>
  <c r="Z5" i="11" s="1"/>
  <c r="AA5" i="11" s="1"/>
  <c r="AB5" i="11" s="1"/>
  <c r="AC5" i="11" s="1"/>
  <c r="AD5" i="11" s="1"/>
  <c r="K6" i="11"/>
  <c r="H24" i="11" l="1"/>
  <c r="AE5" i="1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<sst xmlns="http://schemas.openxmlformats.org/spreadsheetml/2006/main" count="68" uniqueCount="49">
  <si>
    <t>Project start:</t>
  </si>
  <si>
    <t>VanArsdel, Ltd.</t>
  </si>
  <si>
    <t>Display week:</t>
  </si>
  <si>
    <t>SIMPLE GANTT CHART by Vertex42.com</t>
  </si>
  <si>
    <t>https://www.vertex42.com/ExcelTemplates/simple-gantt-chart.html</t>
  </si>
  <si>
    <t>TASK</t>
  </si>
  <si>
    <t>ASSIGNED TO</t>
  </si>
  <si>
    <t>PROGRESS</t>
  </si>
  <si>
    <t>START</t>
  </si>
  <si>
    <t>END</t>
  </si>
  <si>
    <t xml:space="preserve">Do not delete this row. This row is hidden to preserve a formula that is used to highlight the current day within the project schedule. </t>
  </si>
  <si>
    <t>Macy  Dubes</t>
  </si>
  <si>
    <t>Execution</t>
  </si>
  <si>
    <t>Execute tasks</t>
  </si>
  <si>
    <t>Monitor progress</t>
  </si>
  <si>
    <t>Manage resources</t>
  </si>
  <si>
    <t>Provide updates</t>
  </si>
  <si>
    <t>Testing and validation</t>
  </si>
  <si>
    <t>Evaluation</t>
  </si>
  <si>
    <t>Track expenses</t>
  </si>
  <si>
    <t>Evaluate progress</t>
  </si>
  <si>
    <t>Address risks</t>
  </si>
  <si>
    <t>Gather feedback</t>
  </si>
  <si>
    <t>Insert new rows ABOVE this one</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</si>
  <si>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</si>
  <si>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</si>
  <si>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</si>
  <si>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</si>
  <si>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</si>
  <si>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</si>
  <si>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</si>
  <si>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</si>
  <si>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</si>
  <si>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</si>
  <si>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</si>
  <si>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</si>
  <si>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</si>
  <si>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CIVE 202 Project #3</t>
  </si>
  <si>
    <t>group members: Macy Dubes</t>
  </si>
  <si>
    <t>Planning and Scope</t>
  </si>
  <si>
    <t>Problem #1 - Review NHTS/NGSIM Metadata</t>
  </si>
  <si>
    <t>Problem #2 - Define Variables</t>
  </si>
  <si>
    <t>Problem #3 - Draft Scope of Work</t>
  </si>
  <si>
    <t>Python Development</t>
  </si>
  <si>
    <t>Problem #1  Data cleaning and processing</t>
  </si>
  <si>
    <t>Problem #2 Base Visualization</t>
  </si>
  <si>
    <t>Problem #3 IDM Simulation and Time Series Plots</t>
  </si>
  <si>
    <t>Total Time on Python Development</t>
  </si>
  <si>
    <t>Total Time of Planning and Scope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</si>
</sst>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2"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sz val="11"/>
      <color rgb="FF1D2129"/>
      <name val="Arial"/>
      <family val="2"/>
      <scheme val="minor"/>
    </font>
    <font>
      <u/>
      <sz val="11"/>
      <color indexed="12"/>
      <name val="Arial"/>
      <family val="2"/>
      <scheme val="minor"/>
    </font>
    <font>
      <b/>
      <sz val="26"/>
      <color theme="9"/>
      <name val="Arial Black"/>
      <family val="2"/>
      <scheme val="maj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20">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21" fillId="12" borderId="20" xfId="0" applyNumberFormat="1" applyFont="1" applyFill="1" applyBorder="1" applyAlignment="1">
      <alignment horizontal="center" vertical="center"/>
    </xf>
    <xf numFmtId="167" fontId="21" fillId="12" borderId="18" xfId="0" applyNumberFormat="1" applyFont="1" applyFill="1" applyBorder="1" applyAlignment="1">
      <alignment horizontal="center" vertical="center"/>
    </xf>
    <xf numFmtId="167" fontId="21" fillId="12" borderId="19" xfId="0" applyNumberFormat="1" applyFont="1" applyFill="1" applyBorder="1" applyAlignment="1">
      <alignment horizontal="center" vertical="center"/>
    </xf>
    <xf numFmtId="0" fontId="22" fillId="2" borderId="17"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22" fillId="2" borderId="15"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164" fontId="19" fillId="3" borderId="6" xfId="10" applyFont="1" applyFill="1" applyBorder="1">
      <alignment horizontal="center" vertical="center"/>
    </xf>
    <xf numFmtId="0" fontId="4" fillId="0" borderId="4" xfId="0" applyFont="1" applyBorder="1" applyAlignment="1">
      <alignment vertical="center"/>
    </xf>
    <xf numFmtId="0" fontId="19" fillId="3" borderId="7" xfId="12" applyFont="1" applyFill="1" applyBorder="1">
      <alignment horizontal="left" vertical="center" indent="2"/>
    </xf>
    <xf numFmtId="0" fontId="19" fillId="3" borderId="7" xfId="11" applyFont="1" applyFill="1" applyBorder="1" applyAlignment="1">
      <alignment vertical="center"/>
    </xf>
    <xf numFmtId="9" fontId="1" fillId="3" borderId="7" xfId="2" applyFont="1" applyFill="1" applyBorder="1" applyAlignment="1">
      <alignment horizontal="center" vertical="center"/>
    </xf>
    <xf numFmtId="164" fontId="19" fillId="3" borderId="7" xfId="10" applyFont="1" applyFill="1" applyBorder="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164" fontId="19"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9" fillId="4" borderId="5" xfId="12" applyFont="1" applyFill="1" applyBorder="1">
      <alignment horizontal="left" vertical="center" indent="2"/>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164" fontId="19" fillId="4" borderId="5" xfId="10" applyFont="1" applyFill="1" applyBorder="1">
      <alignment horizontal="center" vertical="center"/>
    </xf>
    <xf numFmtId="0" fontId="23" fillId="8" borderId="0" xfId="0" applyFont="1" applyFill="1" applyAlignment="1">
      <alignment horizontal="left" vertical="center" indent="1"/>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164" fontId="19"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9" fillId="5" borderId="8" xfId="12" applyFont="1" applyFill="1" applyBorder="1">
      <alignment horizontal="left" vertical="center" indent="2"/>
    </xf>
    <xf numFmtId="0" fontId="19" fillId="5" borderId="8" xfId="11" applyFont="1" applyFill="1" applyBorder="1" applyAlignment="1">
      <alignment vertical="center"/>
    </xf>
    <xf numFmtId="9" fontId="1" fillId="5" borderId="8" xfId="2" applyFont="1" applyFill="1" applyBorder="1" applyAlignment="1">
      <alignment horizontal="center" vertical="center"/>
    </xf>
    <xf numFmtId="164" fontId="19" fillId="5" borderId="8" xfId="10" applyFont="1" applyFill="1" applyBorder="1">
      <alignment horizontal="center" vertical="center"/>
    </xf>
    <xf numFmtId="0" fontId="23" fillId="9" borderId="0" xfId="0" applyFont="1" applyFill="1" applyAlignment="1">
      <alignment horizontal="left" vertical="center" indent="1"/>
    </xf>
    <xf numFmtId="0" fontId="19" fillId="9" borderId="0" xfId="11" applyFont="1" applyFill="1" applyBorder="1" applyAlignment="1">
      <alignment vertical="center"/>
    </xf>
    <xf numFmtId="9" fontId="1" fillId="9" borderId="0" xfId="2" applyFont="1" applyFill="1" applyBorder="1" applyAlignment="1">
      <alignment horizontal="center" vertical="center"/>
    </xf>
    <xf numFmtId="164" fontId="19"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9" fillId="10" borderId="9" xfId="12" applyFont="1" applyFill="1" applyBorder="1">
      <alignment horizontal="left" vertical="center" indent="2"/>
    </xf>
    <xf numFmtId="0" fontId="19" fillId="10" borderId="9" xfId="11" applyFont="1" applyFill="1" applyBorder="1" applyAlignment="1">
      <alignment vertical="center"/>
    </xf>
    <xf numFmtId="9" fontId="1" fillId="10" borderId="9" xfId="2" applyFont="1" applyFill="1" applyBorder="1" applyAlignment="1">
      <alignment horizontal="center" vertical="center"/>
    </xf>
    <xf numFmtId="164" fontId="19" fillId="10" borderId="9" xfId="10" applyFont="1" applyFill="1" applyBorder="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4"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4" fontId="2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6" applyFont="1" applyAlignment="1">
      <alignment horizontal="left" vertical="center" indent="1"/>
    </xf>
    <xf numFmtId="0" fontId="26" fillId="0" borderId="0" xfId="7" applyFont="1" applyAlignment="1">
      <alignment horizontal="left" vertical="center" indent="1"/>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29" fillId="0" borderId="0" xfId="0" applyFont="1" applyAlignment="1">
      <alignment horizontal="left" vertical="top" wrapText="1" indent="1"/>
    </xf>
    <xf numFmtId="0" fontId="0" fillId="0" borderId="0" xfId="0" applyAlignment="1">
      <alignment horizontal="left" vertical="top" wrapText="1" indent="1"/>
    </xf>
    <xf numFmtId="0" fontId="30" fillId="0" borderId="0" xfId="1" applyFont="1" applyAlignment="1" applyProtection="1">
      <alignment horizontal="left" vertical="top" indent="1"/>
    </xf>
    <xf numFmtId="0" fontId="1" fillId="0" borderId="0" xfId="0" applyFont="1" applyAlignment="1">
      <alignment horizontal="left" vertical="top" indent="1"/>
    </xf>
    <xf numFmtId="0" fontId="31" fillId="0" borderId="0" xfId="5" applyFont="1" applyAlignment="1">
      <alignment horizontal="left"/>
    </xf>
    <xf numFmtId="0" fontId="13" fillId="0" borderId="0" xfId="3" applyAlignment="1">
      <alignment wrapText="1"/>
    </xf>
    <xf numFmtId="166" fontId="19" fillId="2" borderId="13" xfId="0" applyNumberFormat="1" applyFont="1" applyFill="1" applyBorder="1" applyAlignment="1">
      <alignment horizontal="center" vertical="center" wrapText="1"/>
    </xf>
    <xf numFmtId="166" fontId="19" fillId="2" borderId="19" xfId="0" applyNumberFormat="1" applyFont="1" applyFill="1" applyBorder="1" applyAlignment="1">
      <alignment horizontal="center" vertical="center" wrapText="1"/>
    </xf>
    <xf numFmtId="166" fontId="19" fillId="2" borderId="18" xfId="0" applyNumberFormat="1" applyFont="1" applyFill="1" applyBorder="1" applyAlignment="1">
      <alignment horizontal="center" vertical="center" wrapText="1"/>
    </xf>
    <xf numFmtId="0" fontId="20" fillId="11" borderId="16" xfId="0" applyFont="1" applyFill="1" applyBorder="1" applyAlignment="1">
      <alignment horizontal="center" vertical="center"/>
    </xf>
    <xf numFmtId="0" fontId="4" fillId="2" borderId="21" xfId="0" applyFont="1" applyFill="1" applyBorder="1"/>
    <xf numFmtId="0" fontId="27" fillId="0" borderId="0" xfId="0" applyFont="1" applyAlignment="1">
      <alignment horizontal="left"/>
    </xf>
    <xf numFmtId="0" fontId="28" fillId="0" borderId="0" xfId="0" applyFont="1"/>
    <xf numFmtId="165" fontId="27" fillId="0" borderId="0" xfId="9" applyFont="1" applyBorder="1" applyAlignment="1">
      <alignment horizontal="left"/>
    </xf>
    <xf numFmtId="0" fontId="26" fillId="0" borderId="0" xfId="8" applyFont="1" applyAlignment="1">
      <alignment horizontal="left"/>
    </xf>
    <xf numFmtId="0" fontId="4" fillId="0" borderId="0" xfId="0" applyFont="1"/>
    <xf numFmtId="0" fontId="13" fillId="0" borderId="0" xfId="3" applyAlignment="1">
      <alignment wrapText="1"/>
    </xf>
    <xf numFmtId="0" fontId="20"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20" fillId="11" borderId="16" xfId="0" applyFont="1" applyFill="1" applyBorder="1" applyAlignment="1">
      <alignment vertical="center"/>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xdr:from>
      <xdr:col>13</xdr:col>
      <xdr:colOff>190500</xdr:colOff>
      <xdr:row>8</xdr:row>
      <xdr:rowOff>235857</xdr:rowOff>
    </xdr:from>
    <xdr:to>
      <xdr:col>14</xdr:col>
      <xdr:colOff>0</xdr:colOff>
      <xdr:row>14</xdr:row>
      <xdr:rowOff>244929</xdr:rowOff>
    </xdr:to>
    <xdr:cxnSp macro="">
      <xdr:nvCxnSpPr>
        <xdr:cNvPr id="7" name="Straight Arrow Connector 6">
          <a:extLst>
            <a:ext uri="{FF2B5EF4-FFF2-40B4-BE49-F238E27FC236}">
              <a16:creationId xmlns:a16="http://schemas.microsoft.com/office/drawing/2014/main" id="{5A5C5AD8-A552-5096-F7B4-2B5EB85C1F01}"/>
            </a:ext>
          </a:extLst>
        </xdr:cNvPr>
        <xdr:cNvCxnSpPr/>
      </xdr:nvCxnSpPr>
      <xdr:spPr>
        <a:xfrm>
          <a:off x="8763000" y="3283857"/>
          <a:ext cx="9071" cy="229507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72572</xdr:colOff>
      <xdr:row>14</xdr:row>
      <xdr:rowOff>226786</xdr:rowOff>
    </xdr:from>
    <xdr:to>
      <xdr:col>17</xdr:col>
      <xdr:colOff>18143</xdr:colOff>
      <xdr:row>14</xdr:row>
      <xdr:rowOff>226786</xdr:rowOff>
    </xdr:to>
    <xdr:cxnSp macro="">
      <xdr:nvCxnSpPr>
        <xdr:cNvPr id="9" name="Straight Arrow Connector 8">
          <a:extLst>
            <a:ext uri="{FF2B5EF4-FFF2-40B4-BE49-F238E27FC236}">
              <a16:creationId xmlns:a16="http://schemas.microsoft.com/office/drawing/2014/main" id="{2106989D-8401-F400-BCDA-0D45B0AF1229}"/>
            </a:ext>
          </a:extLst>
        </xdr:cNvPr>
        <xdr:cNvCxnSpPr/>
      </xdr:nvCxnSpPr>
      <xdr:spPr>
        <a:xfrm>
          <a:off x="8844643" y="5560786"/>
          <a:ext cx="54428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127000</xdr:colOff>
      <xdr:row>8</xdr:row>
      <xdr:rowOff>108857</xdr:rowOff>
    </xdr:from>
    <xdr:to>
      <xdr:col>14</xdr:col>
      <xdr:colOff>72572</xdr:colOff>
      <xdr:row>8</xdr:row>
      <xdr:rowOff>281214</xdr:rowOff>
    </xdr:to>
    <xdr:sp macro="" textlink="">
      <xdr:nvSpPr>
        <xdr:cNvPr id="10" name="Star: 5 Points 9">
          <a:extLst>
            <a:ext uri="{FF2B5EF4-FFF2-40B4-BE49-F238E27FC236}">
              <a16:creationId xmlns:a16="http://schemas.microsoft.com/office/drawing/2014/main" id="{04974C3D-8A1A-D303-FCAA-959A72B8E4BC}"/>
            </a:ext>
          </a:extLst>
        </xdr:cNvPr>
        <xdr:cNvSpPr/>
      </xdr:nvSpPr>
      <xdr:spPr>
        <a:xfrm>
          <a:off x="8699500" y="3156857"/>
          <a:ext cx="145143" cy="172357"/>
        </a:xfrm>
        <a:prstGeom prst="star5">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188686</xdr:colOff>
      <xdr:row>14</xdr:row>
      <xdr:rowOff>116114</xdr:rowOff>
    </xdr:from>
    <xdr:to>
      <xdr:col>17</xdr:col>
      <xdr:colOff>134257</xdr:colOff>
      <xdr:row>14</xdr:row>
      <xdr:rowOff>288471</xdr:rowOff>
    </xdr:to>
    <xdr:sp macro="" textlink="">
      <xdr:nvSpPr>
        <xdr:cNvPr id="11" name="Star: 5 Points 10">
          <a:extLst>
            <a:ext uri="{FF2B5EF4-FFF2-40B4-BE49-F238E27FC236}">
              <a16:creationId xmlns:a16="http://schemas.microsoft.com/office/drawing/2014/main" id="{87D93A7E-18A9-4D10-BEA9-688E025ECC93}"/>
            </a:ext>
          </a:extLst>
        </xdr:cNvPr>
        <xdr:cNvSpPr/>
      </xdr:nvSpPr>
      <xdr:spPr>
        <a:xfrm>
          <a:off x="9359900" y="5450114"/>
          <a:ext cx="145143" cy="172357"/>
        </a:xfrm>
        <a:prstGeom prst="star5">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6"/>
  <sheetViews>
    <sheetView showGridLines="0" tabSelected="1" showRuler="0" zoomScale="93" zoomScaleNormal="80" zoomScalePageLayoutView="70" workbookViewId="0">
      <selection activeCell="M28" sqref="M28"/>
    </sheetView>
  </sheetViews>
  <sheetFormatPr defaultColWidth="8.59765625" defaultRowHeight="30" customHeight="1" x14ac:dyDescent="0.25"/>
  <cols>
    <col min="1" max="1" width="2.59765625" style="13" customWidth="1"/>
    <col min="2" max="2" width="50.19921875" customWidth="1"/>
    <col min="3" max="3" width="16.59765625" customWidth="1"/>
    <col min="4" max="4" width="10.59765625" customWidth="1"/>
    <col min="5" max="5" width="10.59765625" style="2" customWidth="1"/>
    <col min="6" max="6" width="10.59765625" customWidth="1"/>
    <col min="7" max="7" width="2.59765625" customWidth="1"/>
    <col min="8" max="8" width="6" hidden="1" customWidth="1"/>
    <col min="9" max="65" width="2.59765625" customWidth="1"/>
  </cols>
  <sheetData>
    <row r="1" spans="1:64" ht="90" customHeight="1" x14ac:dyDescent="0.9">
      <c r="A1" s="105"/>
      <c r="B1" s="104" t="s">
        <v>37</v>
      </c>
      <c r="C1" s="17"/>
      <c r="D1" s="18"/>
      <c r="E1" s="19"/>
      <c r="F1" s="20"/>
      <c r="H1" s="1"/>
      <c r="I1" s="114" t="s">
        <v>0</v>
      </c>
      <c r="J1" s="115"/>
      <c r="K1" s="115"/>
      <c r="L1" s="115"/>
      <c r="M1" s="115"/>
      <c r="N1" s="115"/>
      <c r="O1" s="115"/>
      <c r="P1" s="23"/>
      <c r="Q1" s="113">
        <f ca="1">TODAY()</f>
        <v>46080</v>
      </c>
      <c r="R1" s="112"/>
      <c r="S1" s="112"/>
      <c r="T1" s="112"/>
      <c r="U1" s="112"/>
      <c r="V1" s="112"/>
      <c r="W1" s="112"/>
      <c r="X1" s="112"/>
      <c r="Y1" s="112"/>
      <c r="Z1" s="112"/>
    </row>
    <row r="2" spans="1:64" ht="30" customHeight="1" x14ac:dyDescent="0.6">
      <c r="B2" s="95" t="s">
        <v>1</v>
      </c>
      <c r="C2" s="96" t="s">
        <v>38</v>
      </c>
      <c r="D2" s="21"/>
      <c r="E2" s="22"/>
      <c r="F2" s="21"/>
      <c r="I2" s="114" t="s">
        <v>2</v>
      </c>
      <c r="J2" s="115"/>
      <c r="K2" s="115"/>
      <c r="L2" s="115"/>
      <c r="M2" s="115"/>
      <c r="N2" s="115"/>
      <c r="O2" s="115"/>
      <c r="P2" s="23"/>
      <c r="Q2" s="111">
        <v>1</v>
      </c>
      <c r="R2" s="112"/>
      <c r="S2" s="112"/>
      <c r="T2" s="112"/>
      <c r="U2" s="112"/>
      <c r="V2" s="112"/>
      <c r="W2" s="112"/>
      <c r="X2" s="112"/>
      <c r="Y2" s="112"/>
      <c r="Z2" s="112"/>
    </row>
    <row r="3" spans="1:64" s="25" customFormat="1" ht="30" customHeight="1" x14ac:dyDescent="0.25">
      <c r="A3" s="13"/>
      <c r="B3" s="24" t="s">
        <v>3</v>
      </c>
      <c r="D3" s="26"/>
      <c r="E3" s="27"/>
    </row>
    <row r="4" spans="1:64" s="25" customFormat="1" ht="30" customHeight="1" x14ac:dyDescent="0.25">
      <c r="A4" s="105"/>
      <c r="B4" s="28" t="s">
        <v>4</v>
      </c>
      <c r="E4" s="29"/>
      <c r="I4" s="108">
        <f ca="1">I5</f>
        <v>46076</v>
      </c>
      <c r="J4" s="106"/>
      <c r="K4" s="106"/>
      <c r="L4" s="106"/>
      <c r="M4" s="106"/>
      <c r="N4" s="106"/>
      <c r="O4" s="106"/>
      <c r="P4" s="106">
        <f ca="1">P5</f>
        <v>46083</v>
      </c>
      <c r="Q4" s="106"/>
      <c r="R4" s="106"/>
      <c r="S4" s="106"/>
      <c r="T4" s="106"/>
      <c r="U4" s="106"/>
      <c r="V4" s="106"/>
      <c r="W4" s="106">
        <f ca="1">W5</f>
        <v>46090</v>
      </c>
      <c r="X4" s="106"/>
      <c r="Y4" s="106"/>
      <c r="Z4" s="106"/>
      <c r="AA4" s="106"/>
      <c r="AB4" s="106"/>
      <c r="AC4" s="106"/>
      <c r="AD4" s="106">
        <f ca="1">AD5</f>
        <v>46097</v>
      </c>
      <c r="AE4" s="106"/>
      <c r="AF4" s="106"/>
      <c r="AG4" s="106"/>
      <c r="AH4" s="106"/>
      <c r="AI4" s="106"/>
      <c r="AJ4" s="106"/>
      <c r="AK4" s="106">
        <f ca="1">AK5</f>
        <v>46104</v>
      </c>
      <c r="AL4" s="106"/>
      <c r="AM4" s="106"/>
      <c r="AN4" s="106"/>
      <c r="AO4" s="106"/>
      <c r="AP4" s="106"/>
      <c r="AQ4" s="106"/>
      <c r="AR4" s="106">
        <f ca="1">AR5</f>
        <v>46111</v>
      </c>
      <c r="AS4" s="106"/>
      <c r="AT4" s="106"/>
      <c r="AU4" s="106"/>
      <c r="AV4" s="106"/>
      <c r="AW4" s="106"/>
      <c r="AX4" s="106"/>
      <c r="AY4" s="106">
        <f ca="1">AY5</f>
        <v>46118</v>
      </c>
      <c r="AZ4" s="106"/>
      <c r="BA4" s="106"/>
      <c r="BB4" s="106"/>
      <c r="BC4" s="106"/>
      <c r="BD4" s="106"/>
      <c r="BE4" s="106"/>
      <c r="BF4" s="106">
        <f ca="1">BF5</f>
        <v>46125</v>
      </c>
      <c r="BG4" s="106"/>
      <c r="BH4" s="106"/>
      <c r="BI4" s="106"/>
      <c r="BJ4" s="106"/>
      <c r="BK4" s="106"/>
      <c r="BL4" s="107"/>
    </row>
    <row r="5" spans="1:64" s="25" customFormat="1" ht="15" customHeight="1" x14ac:dyDescent="0.25">
      <c r="A5" s="116"/>
      <c r="B5" s="117" t="s">
        <v>5</v>
      </c>
      <c r="C5" s="119" t="s">
        <v>6</v>
      </c>
      <c r="D5" s="109" t="s">
        <v>7</v>
      </c>
      <c r="E5" s="109" t="s">
        <v>8</v>
      </c>
      <c r="F5" s="109" t="s">
        <v>9</v>
      </c>
      <c r="I5" s="30">
        <f ca="1">Project_Start-WEEKDAY(Project_Start,1)+2+7*(Display_Week-1)</f>
        <v>46076</v>
      </c>
      <c r="J5" s="30">
        <f ca="1">I5+1</f>
        <v>46077</v>
      </c>
      <c r="K5" s="30">
        <f t="shared" ref="K5:AX5" ca="1" si="0">J5+1</f>
        <v>46078</v>
      </c>
      <c r="L5" s="30">
        <f t="shared" ca="1" si="0"/>
        <v>46079</v>
      </c>
      <c r="M5" s="30">
        <f t="shared" ca="1" si="0"/>
        <v>46080</v>
      </c>
      <c r="N5" s="30">
        <f t="shared" ca="1" si="0"/>
        <v>46081</v>
      </c>
      <c r="O5" s="31">
        <f t="shared" ca="1" si="0"/>
        <v>46082</v>
      </c>
      <c r="P5" s="32">
        <f ca="1">O5+1</f>
        <v>46083</v>
      </c>
      <c r="Q5" s="30">
        <f ca="1">P5+1</f>
        <v>46084</v>
      </c>
      <c r="R5" s="30">
        <f t="shared" ca="1" si="0"/>
        <v>46085</v>
      </c>
      <c r="S5" s="30">
        <f t="shared" ca="1" si="0"/>
        <v>46086</v>
      </c>
      <c r="T5" s="30">
        <f t="shared" ca="1" si="0"/>
        <v>46087</v>
      </c>
      <c r="U5" s="30">
        <f t="shared" ca="1" si="0"/>
        <v>46088</v>
      </c>
      <c r="V5" s="31">
        <f t="shared" ca="1" si="0"/>
        <v>46089</v>
      </c>
      <c r="W5" s="32">
        <f ca="1">V5+1</f>
        <v>46090</v>
      </c>
      <c r="X5" s="30">
        <f ca="1">W5+1</f>
        <v>46091</v>
      </c>
      <c r="Y5" s="30">
        <f t="shared" ca="1" si="0"/>
        <v>46092</v>
      </c>
      <c r="Z5" s="30">
        <f t="shared" ca="1" si="0"/>
        <v>46093</v>
      </c>
      <c r="AA5" s="30">
        <f t="shared" ca="1" si="0"/>
        <v>46094</v>
      </c>
      <c r="AB5" s="30">
        <f t="shared" ca="1" si="0"/>
        <v>46095</v>
      </c>
      <c r="AC5" s="31">
        <f t="shared" ca="1" si="0"/>
        <v>46096</v>
      </c>
      <c r="AD5" s="32">
        <f ca="1">AC5+1</f>
        <v>46097</v>
      </c>
      <c r="AE5" s="30">
        <f ca="1">AD5+1</f>
        <v>46098</v>
      </c>
      <c r="AF5" s="30">
        <f t="shared" ca="1" si="0"/>
        <v>46099</v>
      </c>
      <c r="AG5" s="30">
        <f t="shared" ca="1" si="0"/>
        <v>46100</v>
      </c>
      <c r="AH5" s="30">
        <f t="shared" ca="1" si="0"/>
        <v>46101</v>
      </c>
      <c r="AI5" s="30">
        <f t="shared" ca="1" si="0"/>
        <v>46102</v>
      </c>
      <c r="AJ5" s="31">
        <f t="shared" ca="1" si="0"/>
        <v>46103</v>
      </c>
      <c r="AK5" s="32">
        <f ca="1">AJ5+1</f>
        <v>46104</v>
      </c>
      <c r="AL5" s="30">
        <f ca="1">AK5+1</f>
        <v>46105</v>
      </c>
      <c r="AM5" s="30">
        <f t="shared" ca="1" si="0"/>
        <v>46106</v>
      </c>
      <c r="AN5" s="30">
        <f t="shared" ca="1" si="0"/>
        <v>46107</v>
      </c>
      <c r="AO5" s="30">
        <f t="shared" ca="1" si="0"/>
        <v>46108</v>
      </c>
      <c r="AP5" s="30">
        <f t="shared" ca="1" si="0"/>
        <v>46109</v>
      </c>
      <c r="AQ5" s="31">
        <f t="shared" ca="1" si="0"/>
        <v>46110</v>
      </c>
      <c r="AR5" s="32">
        <f ca="1">AQ5+1</f>
        <v>46111</v>
      </c>
      <c r="AS5" s="30">
        <f ca="1">AR5+1</f>
        <v>46112</v>
      </c>
      <c r="AT5" s="30">
        <f t="shared" ca="1" si="0"/>
        <v>46113</v>
      </c>
      <c r="AU5" s="30">
        <f t="shared" ca="1" si="0"/>
        <v>46114</v>
      </c>
      <c r="AV5" s="30">
        <f t="shared" ca="1" si="0"/>
        <v>46115</v>
      </c>
      <c r="AW5" s="30">
        <f t="shared" ca="1" si="0"/>
        <v>46116</v>
      </c>
      <c r="AX5" s="31">
        <f t="shared" ca="1" si="0"/>
        <v>46117</v>
      </c>
      <c r="AY5" s="32">
        <f ca="1">AX5+1</f>
        <v>46118</v>
      </c>
      <c r="AZ5" s="30">
        <f ca="1">AY5+1</f>
        <v>46119</v>
      </c>
      <c r="BA5" s="30">
        <f t="shared" ref="BA5:BE5" ca="1" si="1">AZ5+1</f>
        <v>46120</v>
      </c>
      <c r="BB5" s="30">
        <f t="shared" ca="1" si="1"/>
        <v>46121</v>
      </c>
      <c r="BC5" s="30">
        <f t="shared" ca="1" si="1"/>
        <v>46122</v>
      </c>
      <c r="BD5" s="30">
        <f t="shared" ca="1" si="1"/>
        <v>46123</v>
      </c>
      <c r="BE5" s="31">
        <f t="shared" ca="1" si="1"/>
        <v>46124</v>
      </c>
      <c r="BF5" s="32">
        <f ca="1">BE5+1</f>
        <v>46125</v>
      </c>
      <c r="BG5" s="30">
        <f ca="1">BF5+1</f>
        <v>46126</v>
      </c>
      <c r="BH5" s="30">
        <f t="shared" ref="BH5:BL5" ca="1" si="2">BG5+1</f>
        <v>46127</v>
      </c>
      <c r="BI5" s="30">
        <f t="shared" ca="1" si="2"/>
        <v>46128</v>
      </c>
      <c r="BJ5" s="30">
        <f t="shared" ca="1" si="2"/>
        <v>46129</v>
      </c>
      <c r="BK5" s="30">
        <f t="shared" ca="1" si="2"/>
        <v>46130</v>
      </c>
      <c r="BL5" s="30">
        <f t="shared" ca="1" si="2"/>
        <v>46131</v>
      </c>
    </row>
    <row r="6" spans="1:64" s="25" customFormat="1" ht="15" customHeight="1" thickBot="1" x14ac:dyDescent="0.3">
      <c r="A6" s="116"/>
      <c r="B6" s="118"/>
      <c r="C6" s="110"/>
      <c r="D6" s="110"/>
      <c r="E6" s="110"/>
      <c r="F6" s="110"/>
      <c r="I6" s="33" t="str">
        <f t="shared" ref="I6:AN6" ca="1" si="3">LEFT(TEXT(I5,"ddd"),1)</f>
        <v>M</v>
      </c>
      <c r="J6" s="34" t="str">
        <f t="shared" ca="1" si="3"/>
        <v>T</v>
      </c>
      <c r="K6" s="34" t="str">
        <f t="shared" ca="1" si="3"/>
        <v>W</v>
      </c>
      <c r="L6" s="34" t="str">
        <f t="shared" ca="1" si="3"/>
        <v>T</v>
      </c>
      <c r="M6" s="34" t="str">
        <f t="shared" ca="1" si="3"/>
        <v>F</v>
      </c>
      <c r="N6" s="34" t="str">
        <f t="shared" ca="1" si="3"/>
        <v>S</v>
      </c>
      <c r="O6" s="34" t="str">
        <f t="shared" ca="1" si="3"/>
        <v>S</v>
      </c>
      <c r="P6" s="34" t="str">
        <f t="shared" ca="1" si="3"/>
        <v>M</v>
      </c>
      <c r="Q6" s="34" t="str">
        <f t="shared" ca="1" si="3"/>
        <v>T</v>
      </c>
      <c r="R6" s="34" t="str">
        <f t="shared" ca="1" si="3"/>
        <v>W</v>
      </c>
      <c r="S6" s="34" t="str">
        <f t="shared" ca="1" si="3"/>
        <v>T</v>
      </c>
      <c r="T6" s="34" t="str">
        <f t="shared" ca="1" si="3"/>
        <v>F</v>
      </c>
      <c r="U6" s="34" t="str">
        <f t="shared" ca="1" si="3"/>
        <v>S</v>
      </c>
      <c r="V6" s="34" t="str">
        <f t="shared" ca="1" si="3"/>
        <v>S</v>
      </c>
      <c r="W6" s="34" t="str">
        <f t="shared" ca="1" si="3"/>
        <v>M</v>
      </c>
      <c r="X6" s="34" t="str">
        <f t="shared" ca="1" si="3"/>
        <v>T</v>
      </c>
      <c r="Y6" s="34" t="str">
        <f t="shared" ca="1" si="3"/>
        <v>W</v>
      </c>
      <c r="Z6" s="34" t="str">
        <f t="shared" ca="1" si="3"/>
        <v>T</v>
      </c>
      <c r="AA6" s="34" t="str">
        <f t="shared" ca="1" si="3"/>
        <v>F</v>
      </c>
      <c r="AB6" s="34" t="str">
        <f t="shared" ca="1" si="3"/>
        <v>S</v>
      </c>
      <c r="AC6" s="34" t="str">
        <f t="shared" ca="1" si="3"/>
        <v>S</v>
      </c>
      <c r="AD6" s="34" t="str">
        <f t="shared" ca="1" si="3"/>
        <v>M</v>
      </c>
      <c r="AE6" s="34" t="str">
        <f t="shared" ca="1" si="3"/>
        <v>T</v>
      </c>
      <c r="AF6" s="34" t="str">
        <f t="shared" ca="1" si="3"/>
        <v>W</v>
      </c>
      <c r="AG6" s="34" t="str">
        <f t="shared" ca="1" si="3"/>
        <v>T</v>
      </c>
      <c r="AH6" s="34" t="str">
        <f t="shared" ca="1" si="3"/>
        <v>F</v>
      </c>
      <c r="AI6" s="34" t="str">
        <f t="shared" ca="1" si="3"/>
        <v>S</v>
      </c>
      <c r="AJ6" s="34" t="str">
        <f t="shared" ca="1" si="3"/>
        <v>S</v>
      </c>
      <c r="AK6" s="34" t="str">
        <f t="shared" ca="1" si="3"/>
        <v>M</v>
      </c>
      <c r="AL6" s="34" t="str">
        <f t="shared" ca="1" si="3"/>
        <v>T</v>
      </c>
      <c r="AM6" s="34" t="str">
        <f t="shared" ca="1" si="3"/>
        <v>W</v>
      </c>
      <c r="AN6" s="34" t="str">
        <f t="shared" ca="1" si="3"/>
        <v>T</v>
      </c>
      <c r="AO6" s="34" t="str">
        <f t="shared" ref="AO6:BL6" ca="1" si="4">LEFT(TEXT(AO5,"ddd"),1)</f>
        <v>F</v>
      </c>
      <c r="AP6" s="34" t="str">
        <f t="shared" ca="1" si="4"/>
        <v>S</v>
      </c>
      <c r="AQ6" s="34" t="str">
        <f t="shared" ca="1" si="4"/>
        <v>S</v>
      </c>
      <c r="AR6" s="34" t="str">
        <f t="shared" ca="1" si="4"/>
        <v>M</v>
      </c>
      <c r="AS6" s="34" t="str">
        <f t="shared" ca="1" si="4"/>
        <v>T</v>
      </c>
      <c r="AT6" s="34" t="str">
        <f t="shared" ca="1" si="4"/>
        <v>W</v>
      </c>
      <c r="AU6" s="34" t="str">
        <f t="shared" ca="1" si="4"/>
        <v>T</v>
      </c>
      <c r="AV6" s="34" t="str">
        <f t="shared" ca="1" si="4"/>
        <v>F</v>
      </c>
      <c r="AW6" s="34" t="str">
        <f t="shared" ca="1" si="4"/>
        <v>S</v>
      </c>
      <c r="AX6" s="34" t="str">
        <f t="shared" ca="1" si="4"/>
        <v>S</v>
      </c>
      <c r="AY6" s="34" t="str">
        <f t="shared" ca="1" si="4"/>
        <v>M</v>
      </c>
      <c r="AZ6" s="34" t="str">
        <f t="shared" ca="1" si="4"/>
        <v>T</v>
      </c>
      <c r="BA6" s="34" t="str">
        <f t="shared" ca="1" si="4"/>
        <v>W</v>
      </c>
      <c r="BB6" s="34" t="str">
        <f t="shared" ca="1" si="4"/>
        <v>T</v>
      </c>
      <c r="BC6" s="34" t="str">
        <f t="shared" ca="1" si="4"/>
        <v>F</v>
      </c>
      <c r="BD6" s="34" t="str">
        <f t="shared" ca="1" si="4"/>
        <v>S</v>
      </c>
      <c r="BE6" s="34" t="str">
        <f t="shared" ca="1" si="4"/>
        <v>S</v>
      </c>
      <c r="BF6" s="34" t="str">
        <f t="shared" ca="1" si="4"/>
        <v>M</v>
      </c>
      <c r="BG6" s="34" t="str">
        <f t="shared" ca="1" si="4"/>
        <v>T</v>
      </c>
      <c r="BH6" s="34" t="str">
        <f t="shared" ca="1" si="4"/>
        <v>W</v>
      </c>
      <c r="BI6" s="34" t="str">
        <f t="shared" ca="1" si="4"/>
        <v>T</v>
      </c>
      <c r="BJ6" s="34" t="str">
        <f t="shared" ca="1" si="4"/>
        <v>F</v>
      </c>
      <c r="BK6" s="34" t="str">
        <f t="shared" ca="1" si="4"/>
        <v>S</v>
      </c>
      <c r="BL6" s="35" t="str">
        <f t="shared" ca="1" si="4"/>
        <v>S</v>
      </c>
    </row>
    <row r="7" spans="1:64" s="25" customFormat="1" ht="30" hidden="1" customHeight="1" thickBot="1" x14ac:dyDescent="0.3">
      <c r="A7" s="13" t="s">
        <v>10</v>
      </c>
      <c r="B7" s="36"/>
      <c r="C7" s="37"/>
      <c r="D7" s="36"/>
      <c r="E7" s="36"/>
      <c r="F7" s="36"/>
      <c r="H7" s="25" t="str">
        <f>IF(OR(ISBLANK(task_start),ISBLANK(task_end)),"",task_end-task_start+1)</f>
        <v/>
      </c>
      <c r="I7" s="38"/>
      <c r="J7" s="38"/>
      <c r="K7" s="38"/>
      <c r="L7" s="38"/>
      <c r="M7" s="38"/>
      <c r="N7" s="38"/>
      <c r="O7" s="38"/>
      <c r="P7" s="38"/>
      <c r="Q7" s="38"/>
      <c r="R7" s="38"/>
      <c r="S7" s="38"/>
      <c r="T7" s="38"/>
      <c r="U7" s="38"/>
      <c r="V7" s="38"/>
      <c r="W7" s="38"/>
      <c r="X7" s="38"/>
      <c r="Y7" s="38"/>
      <c r="Z7" s="38"/>
      <c r="AA7" s="38"/>
      <c r="AB7" s="38"/>
      <c r="AC7" s="38"/>
      <c r="AD7" s="38"/>
      <c r="AE7" s="38"/>
      <c r="AF7" s="38"/>
      <c r="AG7" s="38"/>
      <c r="AH7" s="38"/>
      <c r="AI7" s="38"/>
      <c r="AJ7" s="38"/>
      <c r="AK7" s="38"/>
      <c r="AL7" s="38"/>
      <c r="AM7" s="38"/>
      <c r="AN7" s="38"/>
      <c r="AO7" s="38"/>
      <c r="AP7" s="38"/>
      <c r="AQ7" s="38"/>
      <c r="AR7" s="38"/>
      <c r="AS7" s="38"/>
      <c r="AT7" s="38"/>
      <c r="AU7" s="38"/>
      <c r="AV7" s="38"/>
      <c r="AW7" s="38"/>
      <c r="AX7" s="38"/>
      <c r="AY7" s="38"/>
      <c r="AZ7" s="38"/>
      <c r="BA7" s="38"/>
      <c r="BB7" s="38"/>
      <c r="BC7" s="38"/>
      <c r="BD7" s="38"/>
      <c r="BE7" s="38"/>
      <c r="BF7" s="38"/>
      <c r="BG7" s="38"/>
      <c r="BH7" s="38"/>
      <c r="BI7" s="38"/>
      <c r="BJ7" s="38"/>
      <c r="BK7" s="38"/>
      <c r="BL7" s="38"/>
    </row>
    <row r="8" spans="1:64" s="45" customFormat="1" ht="30" customHeight="1" thickBot="1" x14ac:dyDescent="0.3">
      <c r="A8" s="105"/>
      <c r="B8" s="39" t="s">
        <v>39</v>
      </c>
      <c r="C8" s="40"/>
      <c r="D8" s="41"/>
      <c r="E8" s="42"/>
      <c r="F8" s="43"/>
      <c r="G8" s="16"/>
      <c r="H8" s="5" t="str">
        <f t="shared" ref="H8:H33" si="5">IF(OR(ISBLANK(task_start),ISBLANK(task_end)),"",task_end-task_start+1)</f>
        <v/>
      </c>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row>
    <row r="9" spans="1:64" s="45" customFormat="1" ht="30" customHeight="1" thickBot="1" x14ac:dyDescent="0.3">
      <c r="A9" s="105"/>
      <c r="B9" s="46" t="s">
        <v>40</v>
      </c>
      <c r="C9" s="47" t="s">
        <v>11</v>
      </c>
      <c r="D9" s="48">
        <v>1</v>
      </c>
      <c r="E9" s="49">
        <f ca="1">Project_Start</f>
        <v>46080</v>
      </c>
      <c r="F9" s="49">
        <f ca="1">E9+1</f>
        <v>46081</v>
      </c>
      <c r="G9" s="16"/>
      <c r="H9" s="5">
        <f t="shared" ca="1" si="5"/>
        <v>2</v>
      </c>
      <c r="I9" s="50"/>
      <c r="J9" s="50"/>
      <c r="K9" s="50"/>
      <c r="L9" s="50"/>
      <c r="M9" s="50"/>
      <c r="N9" s="50"/>
      <c r="O9" s="50"/>
      <c r="P9" s="50"/>
      <c r="Q9" s="50"/>
      <c r="R9" s="50"/>
      <c r="S9" s="50"/>
      <c r="T9" s="50"/>
      <c r="U9" s="50"/>
      <c r="V9" s="50"/>
      <c r="W9" s="50"/>
      <c r="X9" s="50"/>
      <c r="Y9" s="50"/>
      <c r="Z9" s="50"/>
      <c r="AA9" s="50"/>
      <c r="AB9" s="50"/>
      <c r="AC9" s="50"/>
      <c r="AD9" s="50"/>
      <c r="AE9" s="50"/>
      <c r="AF9" s="50"/>
      <c r="AG9" s="50"/>
      <c r="AH9" s="50"/>
      <c r="AI9" s="50"/>
      <c r="AJ9" s="50"/>
      <c r="AK9" s="50"/>
      <c r="AL9" s="50"/>
      <c r="AM9" s="50"/>
      <c r="AN9" s="50"/>
      <c r="AO9" s="50"/>
      <c r="AP9" s="50"/>
      <c r="AQ9" s="50"/>
      <c r="AR9" s="50"/>
      <c r="AS9" s="50"/>
      <c r="AT9" s="50"/>
      <c r="AU9" s="50"/>
      <c r="AV9" s="50"/>
      <c r="AW9" s="50"/>
      <c r="AX9" s="50"/>
      <c r="AY9" s="50"/>
      <c r="AZ9" s="50"/>
      <c r="BA9" s="50"/>
      <c r="BB9" s="50"/>
      <c r="BC9" s="50"/>
      <c r="BD9" s="50"/>
      <c r="BE9" s="50"/>
      <c r="BF9" s="50"/>
      <c r="BG9" s="50"/>
      <c r="BH9" s="50"/>
      <c r="BI9" s="50"/>
      <c r="BJ9" s="50"/>
      <c r="BK9" s="50"/>
      <c r="BL9" s="50"/>
    </row>
    <row r="10" spans="1:64" s="45" customFormat="1" ht="30" customHeight="1" thickBot="1" x14ac:dyDescent="0.3">
      <c r="A10" s="105"/>
      <c r="B10" s="51" t="s">
        <v>41</v>
      </c>
      <c r="C10" s="52" t="s">
        <v>11</v>
      </c>
      <c r="D10" s="53">
        <v>0</v>
      </c>
      <c r="E10" s="54">
        <f ca="1">F9</f>
        <v>46081</v>
      </c>
      <c r="F10" s="54">
        <f ca="1">E10+2</f>
        <v>46083</v>
      </c>
      <c r="G10" s="16"/>
      <c r="H10" s="5">
        <f t="shared" ca="1" si="5"/>
        <v>3</v>
      </c>
      <c r="I10" s="50"/>
      <c r="J10" s="50"/>
      <c r="K10" s="50"/>
      <c r="L10" s="50"/>
      <c r="M10" s="50"/>
      <c r="N10" s="50"/>
      <c r="O10" s="50"/>
      <c r="P10" s="50"/>
      <c r="Q10" s="50"/>
      <c r="R10" s="50"/>
      <c r="S10" s="50"/>
      <c r="T10" s="50"/>
      <c r="U10" s="55"/>
      <c r="V10" s="55"/>
      <c r="W10" s="50"/>
      <c r="X10" s="50"/>
      <c r="Y10" s="50"/>
      <c r="Z10" s="50"/>
      <c r="AA10" s="50"/>
      <c r="AB10" s="50"/>
      <c r="AC10" s="50"/>
      <c r="AD10" s="50"/>
      <c r="AE10" s="50"/>
      <c r="AF10" s="50"/>
      <c r="AG10" s="50"/>
      <c r="AH10" s="50"/>
      <c r="AI10" s="50"/>
      <c r="AJ10" s="50"/>
      <c r="AK10" s="50"/>
      <c r="AL10" s="50"/>
      <c r="AM10" s="50"/>
      <c r="AN10" s="50"/>
      <c r="AO10" s="50"/>
      <c r="AP10" s="50"/>
      <c r="AQ10" s="50"/>
      <c r="AR10" s="50"/>
      <c r="AS10" s="50"/>
      <c r="AT10" s="50"/>
      <c r="AU10" s="50"/>
      <c r="AV10" s="50"/>
      <c r="AW10" s="50"/>
      <c r="AX10" s="50"/>
      <c r="AY10" s="50"/>
      <c r="AZ10" s="50"/>
      <c r="BA10" s="50"/>
      <c r="BB10" s="50"/>
      <c r="BC10" s="50"/>
      <c r="BD10" s="50"/>
      <c r="BE10" s="50"/>
      <c r="BF10" s="50"/>
      <c r="BG10" s="50"/>
      <c r="BH10" s="50"/>
      <c r="BI10" s="50"/>
      <c r="BJ10" s="50"/>
      <c r="BK10" s="50"/>
      <c r="BL10" s="50"/>
    </row>
    <row r="11" spans="1:64" s="45" customFormat="1" ht="30" customHeight="1" thickBot="1" x14ac:dyDescent="0.3">
      <c r="A11" s="13"/>
      <c r="B11" s="51" t="s">
        <v>42</v>
      </c>
      <c r="C11" s="52" t="s">
        <v>11</v>
      </c>
      <c r="D11" s="53">
        <v>0</v>
      </c>
      <c r="E11" s="54">
        <f ca="1">F10</f>
        <v>46083</v>
      </c>
      <c r="F11" s="54">
        <v>46085</v>
      </c>
      <c r="G11" s="16"/>
      <c r="H11" s="5">
        <f t="shared" ca="1" si="5"/>
        <v>3</v>
      </c>
      <c r="I11" s="50"/>
      <c r="J11" s="50"/>
      <c r="K11" s="50"/>
      <c r="L11" s="50"/>
      <c r="M11" s="50"/>
      <c r="N11" s="50"/>
      <c r="O11" s="50"/>
      <c r="P11" s="50"/>
      <c r="Q11" s="50"/>
      <c r="R11" s="50"/>
      <c r="S11" s="50"/>
      <c r="T11" s="50"/>
      <c r="U11" s="50"/>
      <c r="V11" s="50"/>
      <c r="W11" s="50"/>
      <c r="X11" s="50"/>
      <c r="Y11" s="50"/>
      <c r="Z11" s="50"/>
      <c r="AA11" s="50"/>
      <c r="AB11" s="50"/>
      <c r="AC11" s="50"/>
      <c r="AD11" s="50"/>
      <c r="AE11" s="50"/>
      <c r="AF11" s="50"/>
      <c r="AG11" s="50"/>
      <c r="AH11" s="50"/>
      <c r="AI11" s="50"/>
      <c r="AJ11" s="50"/>
      <c r="AK11" s="50"/>
      <c r="AL11" s="50"/>
      <c r="AM11" s="50"/>
      <c r="AN11" s="50"/>
      <c r="AO11" s="50"/>
      <c r="AP11" s="50"/>
      <c r="AQ11" s="50"/>
      <c r="AR11" s="50"/>
      <c r="AS11" s="50"/>
      <c r="AT11" s="50"/>
      <c r="AU11" s="50"/>
      <c r="AV11" s="50"/>
      <c r="AW11" s="50"/>
      <c r="AX11" s="50"/>
      <c r="AY11" s="50"/>
      <c r="AZ11" s="50"/>
      <c r="BA11" s="50"/>
      <c r="BB11" s="50"/>
      <c r="BC11" s="50"/>
      <c r="BD11" s="50"/>
      <c r="BE11" s="50"/>
      <c r="BF11" s="50"/>
      <c r="BG11" s="50"/>
      <c r="BH11" s="50"/>
      <c r="BI11" s="50"/>
      <c r="BJ11" s="50"/>
      <c r="BK11" s="50"/>
      <c r="BL11" s="50"/>
    </row>
    <row r="12" spans="1:64" s="45" customFormat="1" ht="30" customHeight="1" thickBot="1" x14ac:dyDescent="0.3">
      <c r="A12" s="13"/>
      <c r="B12" s="51"/>
      <c r="C12" s="52"/>
      <c r="D12" s="53"/>
      <c r="E12" s="54"/>
      <c r="F12" s="54"/>
      <c r="G12" s="16"/>
      <c r="H12" s="5" t="str">
        <f t="shared" si="5"/>
        <v/>
      </c>
      <c r="I12" s="50"/>
      <c r="J12" s="50"/>
      <c r="K12" s="50"/>
      <c r="L12" s="50"/>
      <c r="M12" s="50"/>
      <c r="N12" s="50"/>
      <c r="O12" s="50"/>
      <c r="P12" s="50"/>
      <c r="Q12" s="50"/>
      <c r="R12" s="50"/>
      <c r="S12" s="50"/>
      <c r="T12" s="50"/>
      <c r="U12" s="50"/>
      <c r="V12" s="50"/>
      <c r="W12" s="50"/>
      <c r="X12" s="50"/>
      <c r="Y12" s="55"/>
      <c r="Z12" s="50"/>
      <c r="AA12" s="50"/>
      <c r="AB12" s="50"/>
      <c r="AC12" s="50"/>
      <c r="AD12" s="50"/>
      <c r="AE12" s="50"/>
      <c r="AF12" s="50"/>
      <c r="AG12" s="50"/>
      <c r="AH12" s="50"/>
      <c r="AI12" s="50"/>
      <c r="AJ12" s="50"/>
      <c r="AK12" s="50"/>
      <c r="AL12" s="50"/>
      <c r="AM12" s="50"/>
      <c r="AN12" s="50"/>
      <c r="AO12" s="50"/>
      <c r="AP12" s="50"/>
      <c r="AQ12" s="50"/>
      <c r="AR12" s="50"/>
      <c r="AS12" s="50"/>
      <c r="AT12" s="50"/>
      <c r="AU12" s="50"/>
      <c r="AV12" s="50"/>
      <c r="AW12" s="50"/>
      <c r="AX12" s="50"/>
      <c r="AY12" s="50"/>
      <c r="AZ12" s="50"/>
      <c r="BA12" s="50"/>
      <c r="BB12" s="50"/>
      <c r="BC12" s="50"/>
      <c r="BD12" s="50"/>
      <c r="BE12" s="50"/>
      <c r="BF12" s="50"/>
      <c r="BG12" s="50"/>
      <c r="BH12" s="50"/>
      <c r="BI12" s="50"/>
      <c r="BJ12" s="50"/>
      <c r="BK12" s="50"/>
      <c r="BL12" s="50"/>
    </row>
    <row r="13" spans="1:64" s="45" customFormat="1" ht="30" customHeight="1" thickBot="1" x14ac:dyDescent="0.3">
      <c r="A13" s="13"/>
      <c r="B13" s="51" t="s">
        <v>48</v>
      </c>
      <c r="C13" s="52" t="s">
        <v>11</v>
      </c>
      <c r="D13" s="53">
        <v>0.33</v>
      </c>
      <c r="E13" s="54">
        <v>46080</v>
      </c>
      <c r="F13" s="54">
        <v>46085</v>
      </c>
      <c r="G13" s="16"/>
      <c r="H13" s="5">
        <f t="shared" si="5"/>
        <v>6</v>
      </c>
      <c r="I13" s="50"/>
      <c r="J13" s="50"/>
      <c r="K13" s="50"/>
      <c r="L13" s="50"/>
      <c r="M13" s="50"/>
      <c r="N13" s="50"/>
      <c r="O13" s="50"/>
      <c r="P13" s="50"/>
      <c r="Q13" s="50"/>
      <c r="R13" s="50"/>
      <c r="S13" s="50"/>
      <c r="T13" s="50"/>
      <c r="U13" s="50"/>
      <c r="V13" s="50"/>
      <c r="W13" s="50"/>
      <c r="X13" s="50"/>
      <c r="Y13" s="50"/>
      <c r="Z13" s="50"/>
      <c r="AA13" s="50"/>
      <c r="AB13" s="50"/>
      <c r="AC13" s="50"/>
      <c r="AD13" s="50"/>
      <c r="AE13" s="50"/>
      <c r="AF13" s="50"/>
      <c r="AG13" s="50"/>
      <c r="AH13" s="50"/>
      <c r="AI13" s="50"/>
      <c r="AJ13" s="50"/>
      <c r="AK13" s="50"/>
      <c r="AL13" s="50"/>
      <c r="AM13" s="50"/>
      <c r="AN13" s="50"/>
      <c r="AO13" s="50"/>
      <c r="AP13" s="50"/>
      <c r="AQ13" s="50"/>
      <c r="AR13" s="50"/>
      <c r="AS13" s="50"/>
      <c r="AT13" s="50"/>
      <c r="AU13" s="50"/>
      <c r="AV13" s="50"/>
      <c r="AW13" s="50"/>
      <c r="AX13" s="50"/>
      <c r="AY13" s="50"/>
      <c r="AZ13" s="50"/>
      <c r="BA13" s="50"/>
      <c r="BB13" s="50"/>
      <c r="BC13" s="50"/>
      <c r="BD13" s="50"/>
      <c r="BE13" s="50"/>
      <c r="BF13" s="50"/>
      <c r="BG13" s="50"/>
      <c r="BH13" s="50"/>
      <c r="BI13" s="50"/>
      <c r="BJ13" s="50"/>
      <c r="BK13" s="50"/>
      <c r="BL13" s="50"/>
    </row>
    <row r="14" spans="1:64" s="45" customFormat="1" ht="30" customHeight="1" thickBot="1" x14ac:dyDescent="0.3">
      <c r="A14" s="105"/>
      <c r="B14" s="56" t="s">
        <v>43</v>
      </c>
      <c r="C14" s="57"/>
      <c r="D14" s="58"/>
      <c r="E14" s="59"/>
      <c r="F14" s="60"/>
      <c r="G14" s="16"/>
      <c r="H14" s="5" t="str">
        <f t="shared" si="5"/>
        <v/>
      </c>
    </row>
    <row r="15" spans="1:64" s="45" customFormat="1" ht="30" customHeight="1" thickBot="1" x14ac:dyDescent="0.3">
      <c r="A15" s="105"/>
      <c r="B15" s="61" t="s">
        <v>44</v>
      </c>
      <c r="C15" s="47" t="s">
        <v>11</v>
      </c>
      <c r="D15" s="63">
        <v>0.5</v>
      </c>
      <c r="E15" s="64">
        <v>46086</v>
      </c>
      <c r="F15" s="64">
        <f>E15+4</f>
        <v>46090</v>
      </c>
      <c r="G15" s="16"/>
      <c r="H15" s="5">
        <f t="shared" si="5"/>
        <v>5</v>
      </c>
      <c r="I15" s="50"/>
      <c r="J15" s="50"/>
      <c r="K15" s="50"/>
      <c r="L15" s="50"/>
      <c r="M15" s="50"/>
      <c r="N15" s="50"/>
      <c r="O15" s="50"/>
      <c r="P15" s="50"/>
      <c r="Q15" s="50"/>
      <c r="R15" s="50"/>
      <c r="S15" s="50"/>
      <c r="T15" s="50"/>
      <c r="U15" s="50"/>
      <c r="V15" s="50"/>
      <c r="W15" s="50"/>
      <c r="X15" s="50"/>
      <c r="Y15" s="50"/>
      <c r="Z15" s="50"/>
      <c r="AA15" s="50"/>
      <c r="AB15" s="50"/>
      <c r="AC15" s="50"/>
      <c r="AD15" s="50"/>
      <c r="AE15" s="50"/>
      <c r="AF15" s="50"/>
      <c r="AG15" s="50"/>
      <c r="AH15" s="50"/>
      <c r="AI15" s="50"/>
      <c r="AJ15" s="50"/>
      <c r="AK15" s="50"/>
      <c r="AL15" s="50"/>
      <c r="AM15" s="50"/>
      <c r="AN15" s="50"/>
      <c r="AO15" s="50"/>
      <c r="AP15" s="50"/>
      <c r="AQ15" s="50"/>
      <c r="AR15" s="50"/>
      <c r="AS15" s="50"/>
      <c r="AT15" s="50"/>
      <c r="AU15" s="50"/>
      <c r="AV15" s="50"/>
      <c r="AW15" s="50"/>
      <c r="AX15" s="50"/>
      <c r="AY15" s="50"/>
      <c r="AZ15" s="50"/>
      <c r="BA15" s="50"/>
      <c r="BB15" s="50"/>
      <c r="BC15" s="50"/>
      <c r="BD15" s="50"/>
      <c r="BE15" s="50"/>
      <c r="BF15" s="50"/>
      <c r="BG15" s="50"/>
      <c r="BH15" s="50"/>
      <c r="BI15" s="50"/>
      <c r="BJ15" s="50"/>
      <c r="BK15" s="50"/>
      <c r="BL15" s="50"/>
    </row>
    <row r="16" spans="1:64" s="45" customFormat="1" ht="30" customHeight="1" thickBot="1" x14ac:dyDescent="0.3">
      <c r="A16" s="13"/>
      <c r="B16" s="61" t="s">
        <v>45</v>
      </c>
      <c r="C16" s="52" t="s">
        <v>11</v>
      </c>
      <c r="D16" s="63">
        <v>0</v>
      </c>
      <c r="E16" s="64">
        <v>46092</v>
      </c>
      <c r="F16" s="64">
        <f>E16+3</f>
        <v>46095</v>
      </c>
      <c r="G16" s="16"/>
      <c r="H16" s="5">
        <f t="shared" si="5"/>
        <v>4</v>
      </c>
      <c r="I16" s="50"/>
      <c r="J16" s="50"/>
      <c r="K16" s="50"/>
      <c r="L16" s="50"/>
      <c r="M16" s="50"/>
      <c r="N16" s="50"/>
      <c r="O16" s="50"/>
      <c r="P16" s="50"/>
      <c r="Q16" s="50"/>
      <c r="R16" s="50"/>
      <c r="S16" s="50"/>
      <c r="T16" s="50"/>
      <c r="U16" s="55"/>
      <c r="V16" s="55"/>
      <c r="W16" s="50"/>
      <c r="X16" s="50"/>
      <c r="Y16" s="50"/>
      <c r="Z16" s="50"/>
      <c r="AA16" s="50"/>
      <c r="AB16" s="50"/>
      <c r="AC16" s="50"/>
      <c r="AD16" s="50"/>
      <c r="AE16" s="50"/>
      <c r="AF16" s="50"/>
      <c r="AG16" s="50"/>
      <c r="AH16" s="50"/>
      <c r="AI16" s="50"/>
      <c r="AJ16" s="50"/>
      <c r="AK16" s="50"/>
      <c r="AL16" s="50"/>
      <c r="AM16" s="50"/>
      <c r="AN16" s="50"/>
      <c r="AO16" s="50"/>
      <c r="AP16" s="50"/>
      <c r="AQ16" s="50"/>
      <c r="AR16" s="50"/>
      <c r="AS16" s="50"/>
      <c r="AT16" s="50"/>
      <c r="AU16" s="50"/>
      <c r="AV16" s="50"/>
      <c r="AW16" s="50"/>
      <c r="AX16" s="50"/>
      <c r="AY16" s="50"/>
      <c r="AZ16" s="50"/>
      <c r="BA16" s="50"/>
      <c r="BB16" s="50"/>
      <c r="BC16" s="50"/>
      <c r="BD16" s="50"/>
      <c r="BE16" s="50"/>
      <c r="BF16" s="50"/>
      <c r="BG16" s="50"/>
      <c r="BH16" s="50"/>
      <c r="BI16" s="50"/>
      <c r="BJ16" s="50"/>
      <c r="BK16" s="50"/>
      <c r="BL16" s="50"/>
    </row>
    <row r="17" spans="1:64" s="45" customFormat="1" ht="30" customHeight="1" thickBot="1" x14ac:dyDescent="0.3">
      <c r="A17" s="13"/>
      <c r="B17" s="61" t="s">
        <v>46</v>
      </c>
      <c r="C17" s="52" t="s">
        <v>11</v>
      </c>
      <c r="D17" s="63">
        <v>0</v>
      </c>
      <c r="E17" s="64">
        <v>46095</v>
      </c>
      <c r="F17" s="64">
        <f>E17+5</f>
        <v>46100</v>
      </c>
      <c r="G17" s="16"/>
      <c r="H17" s="5">
        <f t="shared" si="5"/>
        <v>6</v>
      </c>
      <c r="I17" s="50"/>
      <c r="J17" s="50"/>
      <c r="K17" s="50"/>
      <c r="L17" s="50"/>
      <c r="M17" s="50"/>
      <c r="N17" s="50"/>
      <c r="O17" s="50"/>
      <c r="P17" s="50"/>
      <c r="Q17" s="50"/>
      <c r="R17" s="50"/>
      <c r="S17" s="50"/>
      <c r="T17" s="50"/>
      <c r="U17" s="50"/>
      <c r="V17" s="50"/>
      <c r="W17" s="50"/>
      <c r="X17" s="50"/>
      <c r="Y17" s="50"/>
      <c r="Z17" s="50"/>
      <c r="AA17" s="50"/>
      <c r="AB17" s="50"/>
      <c r="AC17" s="50"/>
      <c r="AD17" s="50"/>
      <c r="AE17" s="50"/>
      <c r="AF17" s="50"/>
      <c r="AG17" s="50"/>
      <c r="AH17" s="50"/>
      <c r="AI17" s="50"/>
      <c r="AJ17" s="50"/>
      <c r="AK17" s="50"/>
      <c r="AL17" s="50"/>
      <c r="AM17" s="50"/>
      <c r="AN17" s="50"/>
      <c r="AO17" s="50"/>
      <c r="AP17" s="50"/>
      <c r="AQ17" s="50"/>
      <c r="AR17" s="50"/>
      <c r="AS17" s="50"/>
      <c r="AT17" s="50"/>
      <c r="AU17" s="50"/>
      <c r="AV17" s="50"/>
      <c r="AW17" s="50"/>
      <c r="AX17" s="50"/>
      <c r="AY17" s="50"/>
      <c r="AZ17" s="50"/>
      <c r="BA17" s="50"/>
      <c r="BB17" s="50"/>
      <c r="BC17" s="50"/>
      <c r="BD17" s="50"/>
      <c r="BE17" s="50"/>
      <c r="BF17" s="50"/>
      <c r="BG17" s="50"/>
      <c r="BH17" s="50"/>
      <c r="BI17" s="50"/>
      <c r="BJ17" s="50"/>
      <c r="BK17" s="50"/>
      <c r="BL17" s="50"/>
    </row>
    <row r="18" spans="1:64" s="45" customFormat="1" ht="30" customHeight="1" thickBot="1" x14ac:dyDescent="0.3">
      <c r="A18" s="13"/>
      <c r="B18" s="61"/>
      <c r="C18" s="62"/>
      <c r="D18" s="63"/>
      <c r="E18" s="64"/>
      <c r="F18" s="64"/>
      <c r="G18" s="16"/>
      <c r="H18" s="5" t="str">
        <f t="shared" si="5"/>
        <v/>
      </c>
      <c r="I18" s="50"/>
      <c r="J18" s="50"/>
      <c r="K18" s="50"/>
      <c r="L18" s="50"/>
      <c r="M18" s="50"/>
      <c r="N18" s="50"/>
      <c r="O18" s="50"/>
      <c r="P18" s="50"/>
      <c r="Q18" s="50"/>
      <c r="R18" s="50"/>
      <c r="S18" s="50"/>
      <c r="T18" s="50"/>
      <c r="U18" s="50"/>
      <c r="V18" s="50"/>
      <c r="W18" s="50"/>
      <c r="X18" s="50"/>
      <c r="Y18" s="55"/>
      <c r="Z18" s="50"/>
      <c r="AA18" s="50"/>
      <c r="AB18" s="50"/>
      <c r="AC18" s="50"/>
      <c r="AD18" s="50"/>
      <c r="AE18" s="50"/>
      <c r="AF18" s="50"/>
      <c r="AG18" s="50"/>
      <c r="AH18" s="50"/>
      <c r="AI18" s="50"/>
      <c r="AJ18" s="50"/>
      <c r="AK18" s="50"/>
      <c r="AL18" s="50"/>
      <c r="AM18" s="50"/>
      <c r="AN18" s="50"/>
      <c r="AO18" s="50"/>
      <c r="AP18" s="50"/>
      <c r="AQ18" s="50"/>
      <c r="AR18" s="50"/>
      <c r="AS18" s="50"/>
      <c r="AT18" s="50"/>
      <c r="AU18" s="50"/>
      <c r="AV18" s="50"/>
      <c r="AW18" s="50"/>
      <c r="AX18" s="50"/>
      <c r="AY18" s="50"/>
      <c r="AZ18" s="50"/>
      <c r="BA18" s="50"/>
      <c r="BB18" s="50"/>
      <c r="BC18" s="50"/>
      <c r="BD18" s="50"/>
      <c r="BE18" s="50"/>
      <c r="BF18" s="50"/>
      <c r="BG18" s="50"/>
      <c r="BH18" s="50"/>
      <c r="BI18" s="50"/>
      <c r="BJ18" s="50"/>
      <c r="BK18" s="50"/>
      <c r="BL18" s="50"/>
    </row>
    <row r="19" spans="1:64" s="45" customFormat="1" ht="30" customHeight="1" thickBot="1" x14ac:dyDescent="0.3">
      <c r="A19" s="13"/>
      <c r="B19" s="61" t="s">
        <v>47</v>
      </c>
      <c r="C19" s="62" t="s">
        <v>11</v>
      </c>
      <c r="D19" s="63">
        <v>0.17</v>
      </c>
      <c r="E19" s="64">
        <v>46086</v>
      </c>
      <c r="F19" s="64">
        <f>E19+14</f>
        <v>46100</v>
      </c>
      <c r="G19" s="16"/>
      <c r="H19" s="5">
        <f t="shared" si="5"/>
        <v>15</v>
      </c>
      <c r="I19" s="50"/>
      <c r="J19" s="50"/>
      <c r="K19" s="50"/>
      <c r="L19" s="50"/>
      <c r="M19" s="50"/>
      <c r="N19" s="50"/>
      <c r="O19" s="50"/>
      <c r="P19" s="50"/>
      <c r="Q19" s="50"/>
      <c r="R19" s="50"/>
      <c r="S19" s="50"/>
      <c r="T19" s="50"/>
      <c r="U19" s="50"/>
      <c r="V19" s="50"/>
      <c r="W19" s="50"/>
      <c r="X19" s="50"/>
      <c r="Y19" s="50"/>
      <c r="Z19" s="50"/>
      <c r="AA19" s="50"/>
      <c r="AB19" s="50"/>
      <c r="AC19" s="50"/>
      <c r="AD19" s="50"/>
      <c r="AE19" s="50"/>
      <c r="AF19" s="50"/>
      <c r="AG19" s="50"/>
      <c r="AH19" s="50"/>
      <c r="AI19" s="50"/>
      <c r="AJ19" s="50"/>
      <c r="AK19" s="50"/>
      <c r="AL19" s="50"/>
      <c r="AM19" s="50"/>
      <c r="AN19" s="50"/>
      <c r="AO19" s="50"/>
      <c r="AP19" s="50"/>
      <c r="AQ19" s="50"/>
      <c r="AR19" s="50"/>
      <c r="AS19" s="50"/>
      <c r="AT19" s="50"/>
      <c r="AU19" s="50"/>
      <c r="AV19" s="50"/>
      <c r="AW19" s="50"/>
      <c r="AX19" s="50"/>
      <c r="AY19" s="50"/>
      <c r="AZ19" s="50"/>
      <c r="BA19" s="50"/>
      <c r="BB19" s="50"/>
      <c r="BC19" s="50"/>
      <c r="BD19" s="50"/>
      <c r="BE19" s="50"/>
      <c r="BF19" s="50"/>
      <c r="BG19" s="50"/>
      <c r="BH19" s="50"/>
      <c r="BI19" s="50"/>
      <c r="BJ19" s="50"/>
      <c r="BK19" s="50"/>
      <c r="BL19" s="50"/>
    </row>
    <row r="20" spans="1:64" s="45" customFormat="1" ht="30" customHeight="1" thickBot="1" x14ac:dyDescent="0.3">
      <c r="A20" s="13"/>
      <c r="B20" s="65" t="s">
        <v>12</v>
      </c>
      <c r="C20" s="66"/>
      <c r="D20" s="67"/>
      <c r="E20" s="68"/>
      <c r="F20" s="69"/>
      <c r="G20" s="16"/>
      <c r="H20" s="5" t="str">
        <f t="shared" si="5"/>
        <v/>
      </c>
      <c r="I20" s="70"/>
      <c r="J20" s="70"/>
      <c r="K20" s="70"/>
      <c r="L20" s="70"/>
      <c r="M20" s="70"/>
      <c r="N20" s="70"/>
      <c r="O20" s="70"/>
      <c r="P20" s="70"/>
      <c r="Q20" s="70"/>
      <c r="R20" s="70"/>
      <c r="S20" s="70"/>
      <c r="T20" s="70"/>
      <c r="U20" s="70"/>
      <c r="V20" s="70"/>
      <c r="W20" s="70"/>
      <c r="X20" s="70"/>
      <c r="Y20" s="70"/>
      <c r="Z20" s="70"/>
      <c r="AA20" s="70"/>
      <c r="AB20" s="70"/>
      <c r="AC20" s="70"/>
      <c r="AD20" s="70"/>
      <c r="AE20" s="70"/>
      <c r="AF20" s="70"/>
      <c r="AG20" s="70"/>
      <c r="AH20" s="70"/>
      <c r="AI20" s="70"/>
      <c r="AJ20" s="70"/>
      <c r="AK20" s="70"/>
      <c r="AL20" s="70"/>
      <c r="AM20" s="70"/>
      <c r="AN20" s="70"/>
      <c r="AO20" s="70"/>
      <c r="AP20" s="70"/>
      <c r="AQ20" s="70"/>
      <c r="AR20" s="70"/>
      <c r="AS20" s="70"/>
      <c r="AT20" s="70"/>
      <c r="AU20" s="70"/>
      <c r="AV20" s="70"/>
      <c r="AW20" s="70"/>
      <c r="AX20" s="70"/>
      <c r="AY20" s="70"/>
      <c r="AZ20" s="70"/>
      <c r="BA20" s="70"/>
      <c r="BB20" s="70"/>
      <c r="BC20" s="70"/>
      <c r="BD20" s="70"/>
      <c r="BE20" s="70"/>
      <c r="BF20" s="70"/>
      <c r="BG20" s="70"/>
      <c r="BH20" s="70"/>
      <c r="BI20" s="70"/>
      <c r="BJ20" s="70"/>
      <c r="BK20" s="70"/>
      <c r="BL20" s="70"/>
    </row>
    <row r="21" spans="1:64" s="45" customFormat="1" ht="30" customHeight="1" thickBot="1" x14ac:dyDescent="0.3">
      <c r="A21" s="13"/>
      <c r="B21" s="71" t="s">
        <v>13</v>
      </c>
      <c r="C21" s="47" t="s">
        <v>11</v>
      </c>
      <c r="D21" s="73">
        <v>0</v>
      </c>
      <c r="E21" s="74">
        <f ca="1">E9+15</f>
        <v>46095</v>
      </c>
      <c r="F21" s="74">
        <f ca="1">E21+5</f>
        <v>46100</v>
      </c>
      <c r="G21" s="16"/>
      <c r="H21" s="5">
        <f t="shared" ca="1" si="5"/>
        <v>6</v>
      </c>
      <c r="I21" s="50"/>
      <c r="J21" s="50"/>
      <c r="K21" s="50"/>
      <c r="L21" s="50"/>
      <c r="M21" s="50"/>
      <c r="N21" s="50"/>
      <c r="O21" s="50"/>
      <c r="P21" s="50"/>
      <c r="Q21" s="50"/>
      <c r="R21" s="50"/>
      <c r="S21" s="50"/>
      <c r="T21" s="50"/>
      <c r="U21" s="50"/>
      <c r="V21" s="50"/>
      <c r="W21" s="50"/>
      <c r="X21" s="50"/>
      <c r="Y21" s="50"/>
      <c r="Z21" s="50"/>
      <c r="AA21" s="50"/>
      <c r="AB21" s="50"/>
      <c r="AC21" s="50"/>
      <c r="AD21" s="50"/>
      <c r="AE21" s="50"/>
      <c r="AF21" s="50"/>
      <c r="AG21" s="50"/>
      <c r="AH21" s="50"/>
      <c r="AI21" s="50"/>
      <c r="AJ21" s="50"/>
      <c r="AK21" s="50"/>
      <c r="AL21" s="50"/>
      <c r="AM21" s="50"/>
      <c r="AN21" s="50"/>
      <c r="AO21" s="50"/>
      <c r="AP21" s="50"/>
      <c r="AQ21" s="50"/>
      <c r="AR21" s="50"/>
      <c r="AS21" s="50"/>
      <c r="AT21" s="50"/>
      <c r="AU21" s="50"/>
      <c r="AV21" s="50"/>
      <c r="AW21" s="50"/>
      <c r="AX21" s="50"/>
      <c r="AY21" s="50"/>
      <c r="AZ21" s="50"/>
      <c r="BA21" s="50"/>
      <c r="BB21" s="50"/>
      <c r="BC21" s="50"/>
      <c r="BD21" s="50"/>
      <c r="BE21" s="50"/>
      <c r="BF21" s="50"/>
      <c r="BG21" s="50"/>
      <c r="BH21" s="50"/>
      <c r="BI21" s="50"/>
      <c r="BJ21" s="50"/>
      <c r="BK21" s="50"/>
      <c r="BL21" s="50"/>
    </row>
    <row r="22" spans="1:64" s="45" customFormat="1" ht="30" customHeight="1" thickBot="1" x14ac:dyDescent="0.3">
      <c r="A22" s="13"/>
      <c r="B22" s="71" t="s">
        <v>14</v>
      </c>
      <c r="C22" s="52" t="s">
        <v>11</v>
      </c>
      <c r="D22" s="73">
        <v>0</v>
      </c>
      <c r="E22" s="74">
        <f ca="1">F21+1</f>
        <v>46101</v>
      </c>
      <c r="F22" s="74">
        <f ca="1">E22+4</f>
        <v>46105</v>
      </c>
      <c r="G22" s="16"/>
      <c r="H22" s="5">
        <f t="shared" ca="1" si="5"/>
        <v>5</v>
      </c>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row>
    <row r="23" spans="1:64" s="45" customFormat="1" ht="30" customHeight="1" thickBot="1" x14ac:dyDescent="0.3">
      <c r="A23" s="13"/>
      <c r="B23" s="71" t="s">
        <v>15</v>
      </c>
      <c r="C23" s="52" t="s">
        <v>11</v>
      </c>
      <c r="D23" s="73">
        <v>0</v>
      </c>
      <c r="E23" s="74">
        <f ca="1">E22+5</f>
        <v>46106</v>
      </c>
      <c r="F23" s="74">
        <f ca="1">E23+5</f>
        <v>46111</v>
      </c>
      <c r="G23" s="16"/>
      <c r="H23" s="5">
        <f t="shared" ca="1" si="5"/>
        <v>6</v>
      </c>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row>
    <row r="24" spans="1:64" s="45" customFormat="1" ht="30" customHeight="1" thickBot="1" x14ac:dyDescent="0.3">
      <c r="A24" s="13"/>
      <c r="B24" s="71" t="s">
        <v>16</v>
      </c>
      <c r="C24" s="72" t="s">
        <v>11</v>
      </c>
      <c r="D24" s="73">
        <v>0</v>
      </c>
      <c r="E24" s="74">
        <v>46100</v>
      </c>
      <c r="F24" s="74">
        <f>E24+11</f>
        <v>46111</v>
      </c>
      <c r="G24" s="16"/>
      <c r="H24" s="5">
        <f t="shared" si="5"/>
        <v>12</v>
      </c>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c r="AP24" s="50"/>
      <c r="AQ24" s="50"/>
      <c r="AR24" s="50"/>
      <c r="AS24" s="50"/>
      <c r="AT24" s="50"/>
      <c r="AU24" s="50"/>
      <c r="AV24" s="50"/>
      <c r="AW24" s="50"/>
      <c r="AX24" s="50"/>
      <c r="AY24" s="50"/>
      <c r="AZ24" s="50"/>
      <c r="BA24" s="50"/>
      <c r="BB24" s="50"/>
      <c r="BC24" s="50"/>
      <c r="BD24" s="50"/>
      <c r="BE24" s="50"/>
      <c r="BF24" s="50"/>
      <c r="BG24" s="50"/>
      <c r="BH24" s="50"/>
      <c r="BI24" s="50"/>
      <c r="BJ24" s="50"/>
      <c r="BK24" s="50"/>
      <c r="BL24" s="50"/>
    </row>
    <row r="25" spans="1:64" s="45" customFormat="1" ht="30" customHeight="1" thickBot="1" x14ac:dyDescent="0.3">
      <c r="A25" s="13"/>
      <c r="B25" s="71" t="s">
        <v>17</v>
      </c>
      <c r="C25" s="72" t="s">
        <v>11</v>
      </c>
      <c r="D25" s="73">
        <v>0</v>
      </c>
      <c r="E25" s="74">
        <f ca="1">E23</f>
        <v>46106</v>
      </c>
      <c r="F25" s="74">
        <f ca="1">E25+4</f>
        <v>46110</v>
      </c>
      <c r="G25" s="16"/>
      <c r="H25" s="5">
        <f t="shared" ca="1" si="5"/>
        <v>5</v>
      </c>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c r="BF25" s="50"/>
      <c r="BG25" s="50"/>
      <c r="BH25" s="50"/>
      <c r="BI25" s="50"/>
      <c r="BJ25" s="50"/>
      <c r="BK25" s="50"/>
      <c r="BL25" s="50"/>
    </row>
    <row r="26" spans="1:64" s="45" customFormat="1" ht="30" customHeight="1" thickBot="1" x14ac:dyDescent="0.3">
      <c r="A26" s="13"/>
      <c r="B26" s="75" t="s">
        <v>18</v>
      </c>
      <c r="C26" s="76"/>
      <c r="D26" s="77"/>
      <c r="E26" s="78"/>
      <c r="F26" s="79"/>
      <c r="G26" s="16"/>
      <c r="H26" s="5" t="str">
        <f t="shared" si="5"/>
        <v/>
      </c>
      <c r="I26" s="80"/>
      <c r="J26" s="80"/>
      <c r="K26" s="80"/>
      <c r="L26" s="80"/>
      <c r="M26" s="80"/>
      <c r="N26" s="80"/>
      <c r="O26" s="80"/>
      <c r="P26" s="80"/>
      <c r="Q26" s="80"/>
      <c r="R26" s="80"/>
      <c r="S26" s="80"/>
      <c r="T26" s="80"/>
      <c r="U26" s="80"/>
      <c r="V26" s="80"/>
      <c r="W26" s="80"/>
      <c r="X26" s="80"/>
      <c r="Y26" s="80"/>
      <c r="Z26" s="80"/>
      <c r="AA26" s="80"/>
      <c r="AB26" s="80"/>
      <c r="AC26" s="80"/>
      <c r="AD26" s="80"/>
      <c r="AE26" s="80"/>
      <c r="AF26" s="80"/>
      <c r="AG26" s="80"/>
      <c r="AH26" s="80"/>
      <c r="AI26" s="80"/>
      <c r="AJ26" s="80"/>
      <c r="AK26" s="80"/>
      <c r="AL26" s="80"/>
      <c r="AM26" s="80"/>
      <c r="AN26" s="80"/>
      <c r="AO26" s="80"/>
      <c r="AP26" s="80"/>
      <c r="AQ26" s="80"/>
      <c r="AR26" s="80"/>
      <c r="AS26" s="80"/>
      <c r="AT26" s="80"/>
      <c r="AU26" s="80"/>
      <c r="AV26" s="80"/>
      <c r="AW26" s="80"/>
      <c r="AX26" s="80"/>
      <c r="AY26" s="80"/>
      <c r="AZ26" s="80"/>
      <c r="BA26" s="80"/>
      <c r="BB26" s="80"/>
      <c r="BC26" s="80"/>
      <c r="BD26" s="80"/>
      <c r="BE26" s="80"/>
      <c r="BF26" s="80"/>
      <c r="BG26" s="80"/>
      <c r="BH26" s="80"/>
      <c r="BI26" s="80"/>
      <c r="BJ26" s="80"/>
      <c r="BK26" s="80"/>
      <c r="BL26" s="80"/>
    </row>
    <row r="27" spans="1:64" s="45" customFormat="1" ht="30" customHeight="1" thickBot="1" x14ac:dyDescent="0.3">
      <c r="A27" s="13"/>
      <c r="B27" s="81" t="s">
        <v>14</v>
      </c>
      <c r="C27" s="47" t="s">
        <v>11</v>
      </c>
      <c r="D27" s="83">
        <v>0</v>
      </c>
      <c r="E27" s="84">
        <v>46100</v>
      </c>
      <c r="F27" s="84">
        <v>46111</v>
      </c>
      <c r="G27" s="16"/>
      <c r="H27" s="5">
        <f t="shared" si="5"/>
        <v>12</v>
      </c>
      <c r="I27" s="50"/>
      <c r="J27" s="50"/>
      <c r="K27" s="50"/>
      <c r="L27" s="50"/>
      <c r="M27" s="50"/>
      <c r="N27" s="50"/>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c r="AR27" s="50"/>
      <c r="AS27" s="50"/>
      <c r="AT27" s="50"/>
      <c r="AU27" s="50"/>
      <c r="AV27" s="50"/>
      <c r="AW27" s="50"/>
      <c r="AX27" s="50"/>
      <c r="AY27" s="50"/>
      <c r="AZ27" s="50"/>
      <c r="BA27" s="50"/>
      <c r="BB27" s="50"/>
      <c r="BC27" s="50"/>
      <c r="BD27" s="50"/>
      <c r="BE27" s="50"/>
      <c r="BF27" s="50"/>
      <c r="BG27" s="50"/>
      <c r="BH27" s="50"/>
      <c r="BI27" s="50"/>
      <c r="BJ27" s="50"/>
      <c r="BK27" s="50"/>
      <c r="BL27" s="50"/>
    </row>
    <row r="28" spans="1:64" s="45" customFormat="1" ht="30" customHeight="1" thickBot="1" x14ac:dyDescent="0.3">
      <c r="A28" s="13"/>
      <c r="B28" s="81" t="s">
        <v>19</v>
      </c>
      <c r="C28" s="52" t="s">
        <v>11</v>
      </c>
      <c r="D28" s="83">
        <v>0</v>
      </c>
      <c r="E28" s="84">
        <v>46103</v>
      </c>
      <c r="F28" s="84">
        <v>46106</v>
      </c>
      <c r="G28" s="16"/>
      <c r="H28" s="5">
        <f t="shared" si="5"/>
        <v>4</v>
      </c>
      <c r="I28" s="50"/>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c r="AR28" s="50"/>
      <c r="AS28" s="50"/>
      <c r="AT28" s="50"/>
      <c r="AU28" s="50"/>
      <c r="AV28" s="50"/>
      <c r="AW28" s="50"/>
      <c r="AX28" s="50"/>
      <c r="AY28" s="50"/>
      <c r="AZ28" s="50"/>
      <c r="BA28" s="50"/>
      <c r="BB28" s="50"/>
      <c r="BC28" s="50"/>
      <c r="BD28" s="50"/>
      <c r="BE28" s="50"/>
      <c r="BF28" s="50"/>
      <c r="BG28" s="50"/>
      <c r="BH28" s="50"/>
      <c r="BI28" s="50"/>
      <c r="BJ28" s="50"/>
      <c r="BK28" s="50"/>
      <c r="BL28" s="50"/>
    </row>
    <row r="29" spans="1:64" s="45" customFormat="1" ht="30" customHeight="1" thickBot="1" x14ac:dyDescent="0.3">
      <c r="A29" s="13"/>
      <c r="B29" s="81" t="s">
        <v>20</v>
      </c>
      <c r="C29" s="52" t="s">
        <v>11</v>
      </c>
      <c r="D29" s="83">
        <v>0</v>
      </c>
      <c r="E29" s="84">
        <v>46098</v>
      </c>
      <c r="F29" s="84">
        <v>46111</v>
      </c>
      <c r="G29" s="16"/>
      <c r="H29" s="5">
        <f t="shared" si="5"/>
        <v>14</v>
      </c>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c r="BF29" s="50"/>
      <c r="BG29" s="50"/>
      <c r="BH29" s="50"/>
      <c r="BI29" s="50"/>
      <c r="BJ29" s="50"/>
      <c r="BK29" s="50"/>
      <c r="BL29" s="50"/>
    </row>
    <row r="30" spans="1:64" s="45" customFormat="1" ht="30" customHeight="1" thickBot="1" x14ac:dyDescent="0.3">
      <c r="A30" s="13"/>
      <c r="B30" s="81" t="s">
        <v>21</v>
      </c>
      <c r="C30" s="82" t="s">
        <v>11</v>
      </c>
      <c r="D30" s="83">
        <v>0</v>
      </c>
      <c r="E30" s="84">
        <f>E27+4</f>
        <v>46104</v>
      </c>
      <c r="F30" s="84">
        <f>E30+5</f>
        <v>46109</v>
      </c>
      <c r="G30" s="16"/>
      <c r="H30" s="5">
        <f t="shared" si="5"/>
        <v>6</v>
      </c>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c r="BF30" s="50"/>
      <c r="BG30" s="50"/>
      <c r="BH30" s="50"/>
      <c r="BI30" s="50"/>
      <c r="BJ30" s="50"/>
      <c r="BK30" s="50"/>
      <c r="BL30" s="50"/>
    </row>
    <row r="31" spans="1:64" s="45" customFormat="1" ht="30" customHeight="1" thickBot="1" x14ac:dyDescent="0.3">
      <c r="A31" s="13"/>
      <c r="B31" s="81" t="s">
        <v>22</v>
      </c>
      <c r="C31" s="82" t="s">
        <v>11</v>
      </c>
      <c r="D31" s="83">
        <v>0</v>
      </c>
      <c r="E31" s="84">
        <f>E27+6</f>
        <v>46106</v>
      </c>
      <c r="F31" s="84">
        <f>E31+3</f>
        <v>46109</v>
      </c>
      <c r="G31" s="16"/>
      <c r="H31" s="5">
        <f t="shared" si="5"/>
        <v>4</v>
      </c>
      <c r="I31" s="50"/>
      <c r="J31" s="50"/>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50"/>
      <c r="AQ31" s="50"/>
      <c r="AR31" s="50"/>
      <c r="AS31" s="50"/>
      <c r="AT31" s="50"/>
      <c r="AU31" s="50"/>
      <c r="AV31" s="50"/>
      <c r="AW31" s="50"/>
      <c r="AX31" s="50"/>
      <c r="AY31" s="50"/>
      <c r="AZ31" s="50"/>
      <c r="BA31" s="50"/>
      <c r="BB31" s="50"/>
      <c r="BC31" s="50"/>
      <c r="BD31" s="50"/>
      <c r="BE31" s="50"/>
      <c r="BF31" s="50"/>
      <c r="BG31" s="50"/>
      <c r="BH31" s="50"/>
      <c r="BI31" s="50"/>
      <c r="BJ31" s="50"/>
      <c r="BK31" s="50"/>
      <c r="BL31" s="50"/>
    </row>
    <row r="32" spans="1:64" s="45" customFormat="1" ht="30" customHeight="1" thickBot="1" x14ac:dyDescent="0.3">
      <c r="A32" s="13"/>
      <c r="B32" s="85"/>
      <c r="C32" s="86"/>
      <c r="D32" s="87"/>
      <c r="E32" s="88"/>
      <c r="F32" s="88"/>
      <c r="G32" s="16"/>
      <c r="H32" s="5" t="str">
        <f t="shared" si="5"/>
        <v/>
      </c>
      <c r="I32" s="44"/>
      <c r="J32" s="44"/>
      <c r="K32" s="44"/>
      <c r="L32" s="44"/>
      <c r="M32" s="44"/>
      <c r="N32" s="44"/>
      <c r="O32" s="44"/>
      <c r="P32" s="44"/>
      <c r="Q32" s="44"/>
      <c r="R32" s="44"/>
      <c r="S32" s="44"/>
      <c r="T32" s="44"/>
      <c r="U32" s="44"/>
      <c r="V32" s="44"/>
      <c r="W32" s="44"/>
      <c r="X32" s="44"/>
      <c r="Y32" s="44"/>
      <c r="Z32" s="44"/>
      <c r="AA32" s="44"/>
      <c r="AB32" s="44"/>
      <c r="AC32" s="44"/>
      <c r="AD32" s="44"/>
      <c r="AE32" s="44"/>
      <c r="AF32" s="44"/>
      <c r="AG32" s="44"/>
      <c r="AH32" s="44"/>
      <c r="AI32" s="44"/>
      <c r="AJ32" s="44"/>
      <c r="AK32" s="44"/>
      <c r="AL32" s="44"/>
      <c r="AM32" s="44"/>
      <c r="AN32" s="44"/>
      <c r="AO32" s="44"/>
      <c r="AP32" s="44"/>
      <c r="AQ32" s="44"/>
      <c r="AR32" s="44"/>
      <c r="AS32" s="44"/>
      <c r="AT32" s="44"/>
      <c r="AU32" s="44"/>
      <c r="AV32" s="44"/>
      <c r="AW32" s="44"/>
      <c r="AX32" s="44"/>
      <c r="AY32" s="44"/>
      <c r="AZ32" s="44"/>
      <c r="BA32" s="44"/>
      <c r="BB32" s="44"/>
      <c r="BC32" s="44"/>
      <c r="BD32" s="44"/>
      <c r="BE32" s="44"/>
      <c r="BF32" s="44"/>
      <c r="BG32" s="44"/>
      <c r="BH32" s="44"/>
      <c r="BI32" s="44"/>
      <c r="BJ32" s="44"/>
      <c r="BK32" s="44"/>
      <c r="BL32" s="44"/>
    </row>
    <row r="33" spans="1:64" s="45" customFormat="1" ht="30" customHeight="1" thickBot="1" x14ac:dyDescent="0.3">
      <c r="A33" s="105"/>
      <c r="B33" s="89" t="s">
        <v>23</v>
      </c>
      <c r="C33" s="90"/>
      <c r="D33" s="91"/>
      <c r="E33" s="92"/>
      <c r="F33" s="93"/>
      <c r="G33" s="16"/>
      <c r="H33" s="6" t="str">
        <f t="shared" si="5"/>
        <v/>
      </c>
      <c r="I33" s="94"/>
      <c r="J33" s="94"/>
      <c r="K33" s="94"/>
      <c r="L33" s="94"/>
      <c r="M33" s="94"/>
      <c r="N33" s="94"/>
      <c r="O33" s="94"/>
      <c r="P33" s="94"/>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94"/>
      <c r="AU33" s="94"/>
      <c r="AV33" s="94"/>
      <c r="AW33" s="94"/>
      <c r="AX33" s="94"/>
      <c r="AY33" s="94"/>
      <c r="AZ33" s="94"/>
      <c r="BA33" s="94"/>
      <c r="BB33" s="94"/>
      <c r="BC33" s="94"/>
      <c r="BD33" s="94"/>
      <c r="BE33" s="94"/>
      <c r="BF33" s="94"/>
      <c r="BG33" s="94"/>
      <c r="BH33" s="94"/>
      <c r="BI33" s="94"/>
      <c r="BJ33" s="94"/>
      <c r="BK33" s="94"/>
      <c r="BL33" s="94"/>
    </row>
    <row r="34" spans="1:64" ht="30" customHeight="1" x14ac:dyDescent="0.25">
      <c r="G34" s="3"/>
    </row>
    <row r="35" spans="1:64" ht="30" customHeight="1" x14ac:dyDescent="0.25">
      <c r="C35" s="15"/>
      <c r="F35" s="14"/>
    </row>
    <row r="36" spans="1:64" ht="30" customHeight="1" x14ac:dyDescent="0.25">
      <c r="C36" s="4"/>
    </row>
  </sheetData>
  <mergeCells count="18">
    <mergeCell ref="A5:A6"/>
    <mergeCell ref="B5:B6"/>
    <mergeCell ref="C5:C6"/>
    <mergeCell ref="D5:D6"/>
    <mergeCell ref="E5:E6"/>
    <mergeCell ref="F5:F6"/>
    <mergeCell ref="Q2:Z2"/>
    <mergeCell ref="Q1:Z1"/>
    <mergeCell ref="I1:O1"/>
    <mergeCell ref="I2:O2"/>
    <mergeCell ref="BF4:BL4"/>
    <mergeCell ref="I4:O4"/>
    <mergeCell ref="P4:V4"/>
    <mergeCell ref="W4:AC4"/>
    <mergeCell ref="AD4:AJ4"/>
    <mergeCell ref="AK4:AQ4"/>
    <mergeCell ref="AR4:AX4"/>
    <mergeCell ref="AY4:BE4"/>
  </mergeCells>
  <conditionalFormatting sqref="D7:D33">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31">
    <cfRule type="expression" dxfId="8" priority="1">
      <formula>AND(TODAY()&gt;=I$5, TODAY()&lt;J$5)</formula>
    </cfRule>
  </conditionalFormatting>
  <conditionalFormatting sqref="I9:BL13">
    <cfRule type="expression" dxfId="7" priority="6">
      <formula>AND(task_start&lt;=I$5,ROUNDDOWN((task_end-task_start+1)*task_progress,0)+task_start-1&gt;=I$5)</formula>
    </cfRule>
    <cfRule type="expression" dxfId="6" priority="7" stopIfTrue="1">
      <formula>AND(task_end&gt;=I$5,task_start&lt;J$5)</formula>
    </cfRule>
  </conditionalFormatting>
  <conditionalFormatting sqref="I15:BL19">
    <cfRule type="expression" dxfId="5" priority="4">
      <formula>AND(task_start&lt;=I$5,ROUNDDOWN((task_end-task_start+1)*task_progress,0)+task_start-1&gt;=I$5)</formula>
    </cfRule>
    <cfRule type="expression" dxfId="4" priority="5" stopIfTrue="1">
      <formula>AND(task_end&gt;=I$5,task_start&lt;J$5)</formula>
    </cfRule>
  </conditionalFormatting>
  <conditionalFormatting sqref="I21:BL25">
    <cfRule type="expression" dxfId="3" priority="2">
      <formula>AND(task_start&lt;=I$5,ROUNDDOWN((task_end-task_start+1)*task_progress,0)+task_start-1&gt;=I$5)</formula>
    </cfRule>
    <cfRule type="expression" dxfId="2" priority="3" stopIfTrue="1">
      <formula>AND(task_end&gt;=I$5,task_start&lt;J$5)</formula>
    </cfRule>
  </conditionalFormatting>
  <conditionalFormatting sqref="I27:BL31">
    <cfRule type="expression" dxfId="1" priority="36">
      <formula>AND(task_start&lt;=I$5,ROUNDDOWN((task_end-task_start+1)*task_progress,0)+task_start-1&gt;=I$5)</formula>
    </cfRule>
    <cfRule type="expression" dxfId="0" priority="37" stopIfTrue="1">
      <formula>AND(task_end&gt;=I$5,task_start&lt;J$5)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 allowBlank="1" showInputMessage="1" showErrorMessage="1" prompt="Phase 3's sample block starts in cell B20." sqref="A20" xr:uid="{956902D1-D3B5-416D-BB69-9362D193BC0A}"/>
    <dataValidation allowBlank="1" showInputMessage="1" showErrorMessage="1" prompt="Phase 4's sample block starts in cell B26." sqref="A26"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3" xr:uid="{79B9237E-4DD3-4E0F-8ED6-E0B695A99D96}"/>
  </dataValidations>
  <hyperlinks>
    <hyperlink ref="B4" r:id="rId1" xr:uid="{00000000-0004-0000-0000-000000000000}"/>
    <hyperlink ref="B3"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ignoredErrors>
    <ignoredError sqref="F22:F23 E23" formula="1"/>
  </ignoredErrors>
  <drawing r:id="rId4"/>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3.2" x14ac:dyDescent="0.25"/>
  <cols>
    <col min="1" max="1" width="87" style="7" customWidth="1"/>
    <col min="2" max="16384" width="9" style="1"/>
  </cols>
  <sheetData>
    <row r="1" spans="1:2" ht="46.5" customHeight="1" x14ac:dyDescent="0.25"/>
    <row r="2" spans="1:2" s="9" customFormat="1" ht="15.6" x14ac:dyDescent="0.25">
      <c r="A2" s="97" t="s">
        <v>3</v>
      </c>
      <c r="B2" s="8"/>
    </row>
    <row r="3" spans="1:2" s="11" customFormat="1" ht="27" customHeight="1" x14ac:dyDescent="0.25">
      <c r="A3" s="98"/>
      <c r="B3" s="12"/>
    </row>
    <row r="4" spans="1:2" s="10" customFormat="1" ht="30" x14ac:dyDescent="0.7">
      <c r="A4" s="99" t="s">
        <v>24</v>
      </c>
    </row>
    <row r="5" spans="1:2" ht="74.25" customHeight="1" x14ac:dyDescent="0.25">
      <c r="A5" s="100" t="s">
        <v>25</v>
      </c>
    </row>
    <row r="6" spans="1:2" ht="26.25" customHeight="1" x14ac:dyDescent="0.25">
      <c r="A6" s="99" t="s">
        <v>26</v>
      </c>
    </row>
    <row r="7" spans="1:2" s="7" customFormat="1" ht="204.9" customHeight="1" x14ac:dyDescent="0.25">
      <c r="A7" s="101" t="s">
        <v>27</v>
      </c>
    </row>
    <row r="8" spans="1:2" s="10" customFormat="1" ht="30" x14ac:dyDescent="0.7">
      <c r="A8" s="99" t="s">
        <v>28</v>
      </c>
    </row>
    <row r="9" spans="1:2" ht="41.4" x14ac:dyDescent="0.25">
      <c r="A9" s="100" t="s">
        <v>29</v>
      </c>
    </row>
    <row r="10" spans="1:2" s="7" customFormat="1" ht="27.9" customHeight="1" x14ac:dyDescent="0.25">
      <c r="A10" s="102" t="s">
        <v>30</v>
      </c>
    </row>
    <row r="11" spans="1:2" s="10" customFormat="1" ht="30" x14ac:dyDescent="0.7">
      <c r="A11" s="99" t="s">
        <v>31</v>
      </c>
    </row>
    <row r="12" spans="1:2" ht="27.6" x14ac:dyDescent="0.25">
      <c r="A12" s="100" t="s">
        <v>32</v>
      </c>
    </row>
    <row r="13" spans="1:2" s="7" customFormat="1" ht="27.9" customHeight="1" x14ac:dyDescent="0.25">
      <c r="A13" s="102" t="s">
        <v>33</v>
      </c>
    </row>
    <row r="14" spans="1:2" s="10" customFormat="1" ht="30" x14ac:dyDescent="0.7">
      <c r="A14" s="99" t="s">
        <v>34</v>
      </c>
    </row>
    <row r="15" spans="1:2" ht="75" customHeight="1" x14ac:dyDescent="0.25">
      <c r="A15" s="100" t="s">
        <v>35</v>
      </c>
    </row>
    <row r="16" spans="1:2" ht="69" x14ac:dyDescent="0.25">
      <c r="A16" s="100" t="s">
        <v>36</v>
      </c>
    </row>
    <row r="17" spans="1:1" x14ac:dyDescent="0.25">
      <c r="A17" s="103"/>
    </row>
    <row r="18" spans="1:1" x14ac:dyDescent="0.25">
      <c r="A18" s="103"/>
    </row>
    <row r="19" spans="1:1" x14ac:dyDescent="0.25">
      <c r="A19" s="103"/>
    </row>
    <row r="20" spans="1:1" x14ac:dyDescent="0.25">
      <c r="A20" s="103"/>
    </row>
    <row r="21" spans="1:1" x14ac:dyDescent="0.25">
      <c r="A21" s="103"/>
    </row>
    <row r="22" spans="1:1" x14ac:dyDescent="0.25">
      <c r="A22" s="103"/>
    </row>
    <row r="23" spans="1:1" x14ac:dyDescent="0.25">
      <c r="A23" s="103"/>
    </row>
    <row r="24" spans="1:1" x14ac:dyDescent="0.25">
      <c r="A24" s="103"/>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96DD1FC206C7E4C8297AEA9970FAC90" ma:contentTypeVersion="11" ma:contentTypeDescription="Create a new document." ma:contentTypeScope="" ma:versionID="899722d98c1669117b7af5bb0c7a59db">
  <xsd:schema xmlns:xsd="http://www.w3.org/2001/XMLSchema" xmlns:xs="http://www.w3.org/2001/XMLSchema" xmlns:p="http://schemas.microsoft.com/office/2006/metadata/properties" xmlns:ns3="d94ee4e4-02cb-4da0-9dbe-ce518434d583" targetNamespace="http://schemas.microsoft.com/office/2006/metadata/properties" ma:root="true" ma:fieldsID="47ec4cde67fef50469726f22c649ac1c" ns3:_="">
    <xsd:import namespace="d94ee4e4-02cb-4da0-9dbe-ce518434d583"/>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SystemTags" minOccurs="0"/>
                <xsd:element ref="ns3:MediaServiceGenerationTime" minOccurs="0"/>
                <xsd:element ref="ns3:MediaServiceEventHashCode" minOccurs="0"/>
                <xsd:element ref="ns3:MediaLengthInSeconds" minOccurs="0"/>
                <xsd:element ref="ns3:MediaServiceLocation" minOccurs="0"/>
                <xsd:element ref="ns3:_activity"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94ee4e4-02cb-4da0-9dbe-ce518434d583"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Location" ma:index="16" nillable="true" ma:displayName="Location" ma:indexed="true" ma:internalName="MediaServiceLocation" ma:readOnly="true">
      <xsd:simpleType>
        <xsd:restriction base="dms:Text"/>
      </xsd:simpleType>
    </xsd:element>
    <xsd:element name="_activity" ma:index="17" nillable="true" ma:displayName="_activity" ma:hidden="true" ma:internalName="_activity">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d94ee4e4-02cb-4da0-9dbe-ce518434d583" xsi:nil="true"/>
  </documentManagement>
</p:properties>
</file>

<file path=customXml/itemProps1.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2.xml><?xml version="1.0" encoding="utf-8"?>
<ds:datastoreItem xmlns:ds="http://schemas.openxmlformats.org/officeDocument/2006/customXml" ds:itemID="{65931ED1-3F97-489C-8F55-F6774E6343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94ee4e4-02cb-4da0-9dbe-ce518434d58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2239A0-E68C-493F-BEE6-C77FEA397FD6}">
  <ds:schemaRefs>
    <ds:schemaRef ds:uri="http://schemas.microsoft.com/office/2006/metadata/properties"/>
    <ds:schemaRef ds:uri="http://schemas.microsoft.com/office/infopath/2007/PartnerControls"/>
    <ds:schemaRef ds:uri="d94ee4e4-02cb-4da0-9dbe-ce518434d583"/>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Kaycie Lane</dc:creator>
  <cp:keywords/>
  <dc:description/>
  <cp:lastModifiedBy>macy dubes</cp:lastModifiedBy>
  <cp:revision/>
  <dcterms:created xsi:type="dcterms:W3CDTF">2022-03-11T22:41:12Z</dcterms:created>
  <dcterms:modified xsi:type="dcterms:W3CDTF">2026-02-27T22:24:31Z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0x010100496DD1FC206C7E4C8297AEA9970FAC90</vt:lpwstr>
  </property>
  <property fmtid="{D5CDD505-2E9C-101B-9397-08002B2CF9AE}" pid="3" name="MediaServiceImageTags">
    <vt:lpwstr/>
  </property>
</Properties>
</file>